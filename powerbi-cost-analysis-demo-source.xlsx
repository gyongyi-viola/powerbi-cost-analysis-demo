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ontinental-my.sharepoint.com/personal/uig91805_contiwan_com/Documents/Dokumentumok/Personal/thyssen/"/>
    </mc:Choice>
  </mc:AlternateContent>
  <xr:revisionPtr revIDLastSave="307" documentId="8_{55F1C424-7293-42C6-9482-4C4D0E4AABF4}" xr6:coauthVersionLast="47" xr6:coauthVersionMax="47" xr10:uidLastSave="{DA36CEA2-00B6-4441-9A22-998645251FCB}"/>
  <bookViews>
    <workbookView xWindow="-108" yWindow="-108" windowWidth="23256" windowHeight="13896" activeTab="1" xr2:uid="{00000000-000D-0000-FFFF-FFFF00000000}"/>
  </bookViews>
  <sheets>
    <sheet name="Basic_Data" sheetId="1" r:id="rId1"/>
    <sheet name="Pivot" sheetId="2" r:id="rId2"/>
  </sheets>
  <definedNames>
    <definedName name="_xlnm._FilterDatabase" localSheetId="0" hidden="1">Basic_Data!$A$1:$K$1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2" i="1"/>
  <c r="G2" i="1" s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B50" i="1"/>
  <c r="B3" i="1"/>
  <c r="B27" i="1"/>
  <c r="B51" i="1"/>
  <c r="B4" i="1"/>
  <c r="B28" i="1"/>
  <c r="B52" i="1"/>
  <c r="B5" i="1"/>
  <c r="B29" i="1"/>
  <c r="B53" i="1"/>
  <c r="B6" i="1"/>
  <c r="B30" i="1"/>
  <c r="B54" i="1"/>
  <c r="B7" i="1"/>
  <c r="B31" i="1"/>
  <c r="B55" i="1"/>
  <c r="B8" i="1"/>
  <c r="B32" i="1"/>
  <c r="B56" i="1"/>
  <c r="B9" i="1"/>
  <c r="B33" i="1"/>
  <c r="B57" i="1"/>
  <c r="B10" i="1"/>
  <c r="B34" i="1"/>
  <c r="B58" i="1"/>
  <c r="B11" i="1"/>
  <c r="B35" i="1"/>
  <c r="B59" i="1"/>
  <c r="B12" i="1"/>
  <c r="B36" i="1"/>
  <c r="B60" i="1"/>
  <c r="B13" i="1"/>
  <c r="B37" i="1"/>
  <c r="B61" i="1"/>
  <c r="B14" i="1"/>
  <c r="B38" i="1"/>
  <c r="B62" i="1"/>
  <c r="B15" i="1"/>
  <c r="B39" i="1"/>
  <c r="B63" i="1"/>
  <c r="B16" i="1"/>
  <c r="B40" i="1"/>
  <c r="B64" i="1"/>
  <c r="B17" i="1"/>
  <c r="B41" i="1"/>
  <c r="B65" i="1"/>
  <c r="B18" i="1"/>
  <c r="B42" i="1"/>
  <c r="B66" i="1"/>
  <c r="B19" i="1"/>
  <c r="B43" i="1"/>
  <c r="B67" i="1"/>
  <c r="B20" i="1"/>
  <c r="B44" i="1"/>
  <c r="B68" i="1"/>
  <c r="B21" i="1"/>
  <c r="B45" i="1"/>
  <c r="B69" i="1"/>
  <c r="B22" i="1"/>
  <c r="B46" i="1"/>
  <c r="B70" i="1"/>
  <c r="B23" i="1"/>
  <c r="B47" i="1"/>
  <c r="B71" i="1"/>
  <c r="B24" i="1"/>
  <c r="B48" i="1"/>
  <c r="B72" i="1"/>
  <c r="B25" i="1"/>
  <c r="B49" i="1"/>
  <c r="B73" i="1"/>
  <c r="B2" i="1"/>
  <c r="I26" i="1"/>
  <c r="I50" i="1"/>
  <c r="I3" i="1"/>
  <c r="I27" i="1"/>
  <c r="I51" i="1"/>
  <c r="I4" i="1"/>
  <c r="I28" i="1"/>
  <c r="K28" i="1" s="1"/>
  <c r="I52" i="1"/>
  <c r="K52" i="1" s="1"/>
  <c r="I5" i="1"/>
  <c r="I29" i="1"/>
  <c r="I53" i="1"/>
  <c r="K53" i="1" s="1"/>
  <c r="I6" i="1"/>
  <c r="I30" i="1"/>
  <c r="I54" i="1"/>
  <c r="K54" i="1" s="1"/>
  <c r="I7" i="1"/>
  <c r="I31" i="1"/>
  <c r="I55" i="1"/>
  <c r="K55" i="1" s="1"/>
  <c r="I8" i="1"/>
  <c r="I32" i="1"/>
  <c r="I56" i="1"/>
  <c r="K56" i="1" s="1"/>
  <c r="I9" i="1"/>
  <c r="I33" i="1"/>
  <c r="I57" i="1"/>
  <c r="I10" i="1"/>
  <c r="I34" i="1"/>
  <c r="I58" i="1"/>
  <c r="I11" i="1"/>
  <c r="I35" i="1"/>
  <c r="I59" i="1"/>
  <c r="I12" i="1"/>
  <c r="I36" i="1"/>
  <c r="I60" i="1"/>
  <c r="I13" i="1"/>
  <c r="I37" i="1"/>
  <c r="I61" i="1"/>
  <c r="I14" i="1"/>
  <c r="I38" i="1"/>
  <c r="I62" i="1"/>
  <c r="I15" i="1"/>
  <c r="I39" i="1"/>
  <c r="I63" i="1"/>
  <c r="I16" i="1"/>
  <c r="I40" i="1"/>
  <c r="I64" i="1"/>
  <c r="I17" i="1"/>
  <c r="I41" i="1"/>
  <c r="I65" i="1"/>
  <c r="K65" i="1" s="1"/>
  <c r="I18" i="1"/>
  <c r="I42" i="1"/>
  <c r="I66" i="1"/>
  <c r="K66" i="1" s="1"/>
  <c r="I19" i="1"/>
  <c r="I43" i="1"/>
  <c r="I67" i="1"/>
  <c r="I20" i="1"/>
  <c r="I44" i="1"/>
  <c r="I68" i="1"/>
  <c r="K68" i="1" s="1"/>
  <c r="I21" i="1"/>
  <c r="I45" i="1"/>
  <c r="I69" i="1"/>
  <c r="I22" i="1"/>
  <c r="I46" i="1"/>
  <c r="I70" i="1"/>
  <c r="I23" i="1"/>
  <c r="I47" i="1"/>
  <c r="I71" i="1"/>
  <c r="I24" i="1"/>
  <c r="I48" i="1"/>
  <c r="K48" i="1" s="1"/>
  <c r="I72" i="1"/>
  <c r="I25" i="1"/>
  <c r="I49" i="1"/>
  <c r="I73" i="1"/>
  <c r="I2" i="1"/>
  <c r="J3" i="1"/>
  <c r="J4" i="1"/>
  <c r="J5" i="1"/>
  <c r="J6" i="1"/>
  <c r="J7" i="1"/>
  <c r="J8" i="1"/>
  <c r="J9" i="1"/>
  <c r="K57" i="1"/>
  <c r="J10" i="1"/>
  <c r="J11" i="1"/>
  <c r="J12" i="1"/>
  <c r="J13" i="1"/>
  <c r="J14" i="1"/>
  <c r="J15" i="1"/>
  <c r="J67" i="1"/>
  <c r="J68" i="1"/>
  <c r="J69" i="1"/>
  <c r="J70" i="1"/>
  <c r="K70" i="1" s="1"/>
  <c r="J71" i="1"/>
  <c r="J72" i="1"/>
  <c r="J73" i="1"/>
  <c r="J2" i="1"/>
  <c r="K51" i="1" l="1"/>
  <c r="K50" i="1"/>
  <c r="K46" i="1"/>
  <c r="K47" i="1"/>
  <c r="K69" i="1"/>
  <c r="K49" i="1"/>
  <c r="K39" i="1"/>
  <c r="K27" i="1"/>
  <c r="K62" i="1"/>
  <c r="K38" i="1"/>
  <c r="K26" i="1"/>
  <c r="K23" i="1"/>
  <c r="K72" i="1"/>
  <c r="K34" i="1"/>
  <c r="K45" i="1"/>
  <c r="K44" i="1"/>
  <c r="K43" i="1"/>
  <c r="K31" i="1"/>
  <c r="K42" i="1"/>
  <c r="K30" i="1"/>
  <c r="K29" i="1"/>
  <c r="K15" i="1"/>
  <c r="K24" i="1"/>
  <c r="K40" i="1"/>
  <c r="K41" i="1"/>
  <c r="K25" i="1"/>
  <c r="K17" i="1"/>
  <c r="K5" i="1"/>
  <c r="K21" i="1"/>
  <c r="K20" i="1"/>
  <c r="K19" i="1"/>
  <c r="K11" i="1"/>
  <c r="K7" i="1"/>
  <c r="K6" i="1"/>
  <c r="K3" i="1"/>
  <c r="K64" i="1"/>
  <c r="K61" i="1"/>
  <c r="K60" i="1"/>
  <c r="K37" i="1"/>
  <c r="K36" i="1"/>
  <c r="K33" i="1"/>
  <c r="K32" i="1"/>
  <c r="K13" i="1"/>
  <c r="K9" i="1"/>
  <c r="K73" i="1"/>
  <c r="K71" i="1"/>
  <c r="K67" i="1"/>
  <c r="K63" i="1"/>
  <c r="K59" i="1"/>
  <c r="K35" i="1"/>
  <c r="K12" i="1"/>
  <c r="K4" i="1"/>
  <c r="K58" i="1"/>
  <c r="K2" i="1"/>
  <c r="K22" i="1"/>
  <c r="K18" i="1"/>
  <c r="K14" i="1"/>
  <c r="K10" i="1"/>
  <c r="K16" i="1"/>
  <c r="K8" i="1"/>
</calcChain>
</file>

<file path=xl/sharedStrings.xml><?xml version="1.0" encoding="utf-8"?>
<sst xmlns="http://schemas.openxmlformats.org/spreadsheetml/2006/main" count="105" uniqueCount="34">
  <si>
    <t>Date</t>
  </si>
  <si>
    <t>Product</t>
  </si>
  <si>
    <t>COGS</t>
  </si>
  <si>
    <t>SalesPrice</t>
  </si>
  <si>
    <t>Volume</t>
  </si>
  <si>
    <t>Revenue</t>
  </si>
  <si>
    <t>Cost</t>
  </si>
  <si>
    <t>A</t>
  </si>
  <si>
    <t>B</t>
  </si>
  <si>
    <t>C</t>
  </si>
  <si>
    <t>Profit</t>
  </si>
  <si>
    <t>Year</t>
  </si>
  <si>
    <t>Row Labels</t>
  </si>
  <si>
    <t>2024</t>
  </si>
  <si>
    <t>2025</t>
  </si>
  <si>
    <t>Sum of MarginPct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</si>
  <si>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</si>
  <si>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</si>
  <si>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</si>
  <si>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</si>
  <si>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</si>
  <si>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</si>
  <si>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</si>
  <si>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</si>
  <si>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</si>
  <si>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</si>
  <si>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</si>
  <si>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</si>
  <si>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Volume</t>
  </si>
  <si>
    <t>Sum of Cost</t>
  </si>
  <si>
    <t>Sum of Profit</t>
  </si>
  <si>
    <t>Margin</t>
  </si>
  <si>
    <t>Margin %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</si>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</sst>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22" fontId="2" fillId="0" borderId="0" xfId="0" applyNumberFormat="1" applyFont="1"/>
    <xf numFmtId="0" fontId="2" fillId="0" borderId="0" xfId="0" applyFont="1"/>
    <xf numFmtId="3" fontId="3" fillId="0" borderId="1" xfId="0" applyNumberFormat="1" applyFont="1" applyBorder="1" applyAlignment="1">
      <alignment horizontal="center" vertical="top"/>
    </xf>
    <xf numFmtId="3" fontId="2" fillId="0" borderId="0" xfId="0" applyNumberFormat="1" applyFont="1"/>
    <xf numFmtId="3" fontId="0" fillId="0" borderId="0" xfId="0" applyNumberFormat="1"/>
    <xf numFmtId="1" fontId="2" fillId="0" borderId="0" xfId="0" applyNumberFormat="1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9" fontId="2" fillId="0" borderId="0" xfId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ola, Gyoengyi" refreshedDate="46084.839443634257" createdVersion="8" refreshedVersion="8" minRefreshableVersion="3" recordCount="72" xr:uid="{4CB2B70A-72B0-4A69-BC59-2FFAFB6C0F94}">
  <cacheSource type="worksheet">
    <worksheetSource ref="A1:K73" sheet="Basic_Data"/>
  </cacheSource>
  <cacheFields count="14">
    <cacheField name="Date" numFmtId="22">
      <sharedItems containsSemiMixedTypes="0" containsNonDate="0" containsDate="1" containsString="0" minDate="2024-01-01T00:00:00" maxDate="2025-12-02T00:00:00" count="24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13"/>
    </cacheField>
    <cacheField name="Year" numFmtId="1">
      <sharedItems containsSemiMixedTypes="0" containsString="0" containsNumber="1" containsInteger="1" minValue="2024" maxValue="2025"/>
    </cacheField>
    <cacheField name="Product" numFmtId="0">
      <sharedItems count="3">
        <s v="A"/>
        <s v="B"/>
        <s v="C"/>
      </sharedItems>
    </cacheField>
    <cacheField name="COGS" numFmtId="0">
      <sharedItems containsSemiMixedTypes="0" containsString="0" containsNumber="1" containsInteger="1" minValue="48" maxValue="90"/>
    </cacheField>
    <cacheField name="SalesPrice" numFmtId="0">
      <sharedItems containsSemiMixedTypes="0" containsString="0" containsNumber="1" minValue="80.95" maxValue="110"/>
    </cacheField>
    <cacheField name="Volume" numFmtId="0">
      <sharedItems containsSemiMixedTypes="0" containsString="0" containsNumber="1" containsInteger="1" minValue="415" maxValue="3900"/>
    </cacheField>
    <cacheField name="Revenue" numFmtId="3">
      <sharedItems containsSemiMixedTypes="0" containsString="0" containsNumber="1" minValue="45046.8" maxValue="390000"/>
    </cacheField>
    <cacheField name="Cost" numFmtId="3">
      <sharedItems containsSemiMixedTypes="0" containsString="0" containsNumber="1" containsInteger="1" minValue="30000" maxValue="292500"/>
    </cacheField>
    <cacheField name="Profit" numFmtId="3">
      <sharedItems containsSemiMixedTypes="0" containsString="0" containsNumber="1" minValue="8300" maxValue="112000"/>
    </cacheField>
    <cacheField name="MarginEUR" numFmtId="0">
      <sharedItems containsSemiMixedTypes="0" containsString="0" containsNumber="1" minValue="19.760000000000005" maxValue="40"/>
    </cacheField>
    <cacheField name="MarginPct" numFmtId="10">
      <sharedItems containsSemiMixedTypes="0" containsString="0" containsNumber="1" minValue="0.18181818181818182" maxValue="0.44444444444444442"/>
    </cacheField>
    <cacheField name="Months (Date)" numFmtId="0" databaseField="0">
      <fieldGroup base="0">
        <rangePr groupBy="months" startDate="2024-01-01T00:00:00" endDate="2025-12-02T00:00:00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2/2025"/>
        </groupItems>
      </fieldGroup>
    </cacheField>
    <cacheField name="Quarters (Date)" numFmtId="0" databaseField="0">
      <fieldGroup base="0">
        <rangePr groupBy="quarters" startDate="2024-01-01T00:00:00" endDate="2025-12-02T00:00:00"/>
        <groupItems count="6">
          <s v="&lt;01/01/2024"/>
          <s v="Qtr1"/>
          <s v="Qtr2"/>
          <s v="Qtr3"/>
          <s v="Qtr4"/>
          <s v="&gt;02/12/2025"/>
        </groupItems>
      </fieldGroup>
    </cacheField>
    <cacheField name="Years (Date)" numFmtId="0" databaseField="0">
      <fieldGroup base="0">
        <rangePr groupBy="years" startDate="2024-01-01T00:00:00" endDate="2025-12-02T00:00:00"/>
        <groupItems count="4">
          <s v="&lt;01/01/2024"/>
          <s v="2024"/>
          <s v="2025"/>
          <s v="&gt;02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n v="2024"/>
    <x v="0"/>
    <n v="50"/>
    <n v="85"/>
    <n v="600"/>
    <n v="51000"/>
    <n v="30000"/>
    <n v="21000"/>
    <n v="35"/>
    <n v="0.41176470588235292"/>
  </r>
  <r>
    <x v="1"/>
    <n v="2024"/>
    <x v="0"/>
    <n v="50"/>
    <n v="85"/>
    <n v="700"/>
    <n v="59500"/>
    <n v="35000"/>
    <n v="24500"/>
    <n v="35"/>
    <n v="0.41176470588235292"/>
  </r>
  <r>
    <x v="2"/>
    <n v="2024"/>
    <x v="0"/>
    <n v="50"/>
    <n v="85"/>
    <n v="750"/>
    <n v="63750"/>
    <n v="37500"/>
    <n v="26250"/>
    <n v="35"/>
    <n v="0.41176470588235292"/>
  </r>
  <r>
    <x v="3"/>
    <n v="2024"/>
    <x v="0"/>
    <n v="50"/>
    <n v="85"/>
    <n v="800"/>
    <n v="68000"/>
    <n v="40000"/>
    <n v="28000"/>
    <n v="35"/>
    <n v="0.41176470588235292"/>
  </r>
  <r>
    <x v="4"/>
    <n v="2024"/>
    <x v="0"/>
    <n v="50"/>
    <n v="90"/>
    <n v="900"/>
    <n v="81000"/>
    <n v="45000"/>
    <n v="36000"/>
    <n v="40"/>
    <n v="0.44444444444444442"/>
  </r>
  <r>
    <x v="5"/>
    <n v="2024"/>
    <x v="0"/>
    <n v="50"/>
    <n v="90"/>
    <n v="960"/>
    <n v="86400"/>
    <n v="48000"/>
    <n v="38400"/>
    <n v="40"/>
    <n v="0.44444444444444442"/>
  </r>
  <r>
    <x v="6"/>
    <n v="2024"/>
    <x v="0"/>
    <n v="60"/>
    <n v="90"/>
    <n v="1000"/>
    <n v="90000"/>
    <n v="60000"/>
    <n v="30000"/>
    <n v="30"/>
    <n v="0.33333333333333331"/>
  </r>
  <r>
    <x v="7"/>
    <n v="2024"/>
    <x v="0"/>
    <n v="60"/>
    <n v="90"/>
    <n v="1100"/>
    <n v="99000"/>
    <n v="66000"/>
    <n v="33000"/>
    <n v="30"/>
    <n v="0.33333333333333331"/>
  </r>
  <r>
    <x v="8"/>
    <n v="2024"/>
    <x v="0"/>
    <n v="60"/>
    <n v="90"/>
    <n v="1200"/>
    <n v="108000"/>
    <n v="72000"/>
    <n v="36000"/>
    <n v="30"/>
    <n v="0.33333333333333331"/>
  </r>
  <r>
    <x v="9"/>
    <n v="2024"/>
    <x v="0"/>
    <n v="60"/>
    <n v="100"/>
    <n v="1500"/>
    <n v="150000"/>
    <n v="90000"/>
    <n v="60000"/>
    <n v="40"/>
    <n v="0.4"/>
  </r>
  <r>
    <x v="10"/>
    <n v="2024"/>
    <x v="0"/>
    <n v="60"/>
    <n v="100"/>
    <n v="1600"/>
    <n v="160000"/>
    <n v="96000"/>
    <n v="64000"/>
    <n v="40"/>
    <n v="0.4"/>
  </r>
  <r>
    <x v="11"/>
    <n v="2024"/>
    <x v="0"/>
    <n v="60"/>
    <n v="100"/>
    <n v="1800"/>
    <n v="180000"/>
    <n v="108000"/>
    <n v="72000"/>
    <n v="40"/>
    <n v="0.4"/>
  </r>
  <r>
    <x v="12"/>
    <n v="2025"/>
    <x v="0"/>
    <n v="70"/>
    <n v="100"/>
    <n v="2000"/>
    <n v="200000"/>
    <n v="140000"/>
    <n v="60000"/>
    <n v="30"/>
    <n v="0.3"/>
  </r>
  <r>
    <x v="13"/>
    <n v="2025"/>
    <x v="0"/>
    <n v="70"/>
    <n v="100"/>
    <n v="2200"/>
    <n v="220000"/>
    <n v="154000"/>
    <n v="66000"/>
    <n v="30"/>
    <n v="0.3"/>
  </r>
  <r>
    <x v="14"/>
    <n v="2025"/>
    <x v="0"/>
    <n v="70"/>
    <n v="100"/>
    <n v="2500"/>
    <n v="250000"/>
    <n v="175000"/>
    <n v="75000"/>
    <n v="30"/>
    <n v="0.3"/>
  </r>
  <r>
    <x v="15"/>
    <n v="2025"/>
    <x v="0"/>
    <n v="70"/>
    <n v="100"/>
    <n v="2600"/>
    <n v="260000"/>
    <n v="182000"/>
    <n v="78000"/>
    <n v="30"/>
    <n v="0.3"/>
  </r>
  <r>
    <x v="16"/>
    <n v="2025"/>
    <x v="0"/>
    <n v="75"/>
    <n v="110"/>
    <n v="2700"/>
    <n v="297000"/>
    <n v="202500"/>
    <n v="94500"/>
    <n v="35"/>
    <n v="0.31818181818181818"/>
  </r>
  <r>
    <x v="17"/>
    <n v="2025"/>
    <x v="0"/>
    <n v="75"/>
    <n v="110"/>
    <n v="2950"/>
    <n v="324500"/>
    <n v="221250"/>
    <n v="103250"/>
    <n v="35"/>
    <n v="0.31818181818181818"/>
  </r>
  <r>
    <x v="18"/>
    <n v="2025"/>
    <x v="0"/>
    <n v="75"/>
    <n v="110"/>
    <n v="3100"/>
    <n v="341000"/>
    <n v="232500"/>
    <n v="108500"/>
    <n v="35"/>
    <n v="0.31818181818181818"/>
  </r>
  <r>
    <x v="19"/>
    <n v="2025"/>
    <x v="0"/>
    <n v="75"/>
    <n v="110"/>
    <n v="3200"/>
    <n v="352000"/>
    <n v="240000"/>
    <n v="112000"/>
    <n v="35"/>
    <n v="0.31818181818181818"/>
  </r>
  <r>
    <x v="20"/>
    <n v="2025"/>
    <x v="0"/>
    <n v="75"/>
    <n v="100"/>
    <n v="3300"/>
    <n v="330000"/>
    <n v="247500"/>
    <n v="82500"/>
    <n v="25"/>
    <n v="0.25"/>
  </r>
  <r>
    <x v="21"/>
    <n v="2025"/>
    <x v="0"/>
    <n v="75"/>
    <n v="100"/>
    <n v="3500"/>
    <n v="350000"/>
    <n v="262500"/>
    <n v="87500"/>
    <n v="25"/>
    <n v="0.25"/>
  </r>
  <r>
    <x v="22"/>
    <n v="2025"/>
    <x v="0"/>
    <n v="75"/>
    <n v="100"/>
    <n v="3600"/>
    <n v="360000"/>
    <n v="270000"/>
    <n v="90000"/>
    <n v="25"/>
    <n v="0.25"/>
  </r>
  <r>
    <x v="23"/>
    <n v="2025"/>
    <x v="0"/>
    <n v="75"/>
    <n v="100"/>
    <n v="3900"/>
    <n v="390000"/>
    <n v="292500"/>
    <n v="97500"/>
    <n v="25"/>
    <n v="0.25"/>
  </r>
  <r>
    <x v="0"/>
    <n v="2024"/>
    <x v="1"/>
    <n v="48"/>
    <n v="80.95"/>
    <n v="900"/>
    <n v="72855"/>
    <n v="43200"/>
    <n v="29655"/>
    <n v="32.950000000000003"/>
    <n v="0.407041383570105"/>
  </r>
  <r>
    <x v="1"/>
    <n v="2024"/>
    <x v="1"/>
    <n v="48"/>
    <n v="80.95"/>
    <n v="950"/>
    <n v="76902.5"/>
    <n v="45600"/>
    <n v="31302.5"/>
    <n v="32.950000000000003"/>
    <n v="0.407041383570105"/>
  </r>
  <r>
    <x v="2"/>
    <n v="2024"/>
    <x v="1"/>
    <n v="48"/>
    <n v="80.95"/>
    <n v="940"/>
    <n v="76093"/>
    <n v="45120"/>
    <n v="30973"/>
    <n v="32.950000000000003"/>
    <n v="0.407041383570105"/>
  </r>
  <r>
    <x v="3"/>
    <n v="2024"/>
    <x v="1"/>
    <n v="48"/>
    <n v="80.95"/>
    <n v="900"/>
    <n v="72855"/>
    <n v="43200"/>
    <n v="29655"/>
    <n v="32.950000000000003"/>
    <n v="0.407041383570105"/>
  </r>
  <r>
    <x v="4"/>
    <n v="2024"/>
    <x v="1"/>
    <n v="48"/>
    <n v="80.95"/>
    <n v="890"/>
    <n v="72045.5"/>
    <n v="42720"/>
    <n v="29325.5"/>
    <n v="32.950000000000003"/>
    <n v="0.407041383570105"/>
  </r>
  <r>
    <x v="5"/>
    <n v="2024"/>
    <x v="1"/>
    <n v="50"/>
    <n v="80.95"/>
    <n v="880"/>
    <n v="71236"/>
    <n v="44000"/>
    <n v="27236"/>
    <n v="30.950000000000003"/>
    <n v="0.38233477455219272"/>
  </r>
  <r>
    <x v="6"/>
    <n v="2024"/>
    <x v="1"/>
    <n v="50"/>
    <n v="80.95"/>
    <n v="800"/>
    <n v="64760"/>
    <n v="40000"/>
    <n v="24760"/>
    <n v="30.950000000000003"/>
    <n v="0.38233477455219272"/>
  </r>
  <r>
    <x v="7"/>
    <n v="2024"/>
    <x v="1"/>
    <n v="50"/>
    <n v="80.95"/>
    <n v="850"/>
    <n v="68807.5"/>
    <n v="42500"/>
    <n v="26307.5"/>
    <n v="30.950000000000003"/>
    <n v="0.38233477455219272"/>
  </r>
  <r>
    <x v="8"/>
    <n v="2024"/>
    <x v="1"/>
    <n v="55"/>
    <n v="80.95"/>
    <n v="800"/>
    <n v="64760"/>
    <n v="44000"/>
    <n v="20760"/>
    <n v="25.950000000000003"/>
    <n v="0.32056825200741201"/>
  </r>
  <r>
    <x v="9"/>
    <n v="2024"/>
    <x v="1"/>
    <n v="55"/>
    <n v="80.95"/>
    <n v="790"/>
    <n v="63950.5"/>
    <n v="43450"/>
    <n v="20500.5"/>
    <n v="25.950000000000003"/>
    <n v="0.32056825200741201"/>
  </r>
  <r>
    <x v="10"/>
    <n v="2024"/>
    <x v="1"/>
    <n v="55"/>
    <n v="80.95"/>
    <n v="780"/>
    <n v="63141"/>
    <n v="42900"/>
    <n v="20241"/>
    <n v="25.950000000000003"/>
    <n v="0.32056825200741201"/>
  </r>
  <r>
    <x v="11"/>
    <n v="2024"/>
    <x v="1"/>
    <n v="55"/>
    <n v="80.95"/>
    <n v="750"/>
    <n v="60712.5"/>
    <n v="41250"/>
    <n v="19462.5"/>
    <n v="25.950000000000003"/>
    <n v="0.32056825200741201"/>
  </r>
  <r>
    <x v="12"/>
    <n v="2025"/>
    <x v="1"/>
    <n v="55"/>
    <n v="85"/>
    <n v="750"/>
    <n v="63750"/>
    <n v="41250"/>
    <n v="22500"/>
    <n v="30"/>
    <n v="0.35294117647058826"/>
  </r>
  <r>
    <x v="13"/>
    <n v="2025"/>
    <x v="1"/>
    <n v="58"/>
    <n v="85"/>
    <n v="780"/>
    <n v="66300"/>
    <n v="45240"/>
    <n v="21060"/>
    <n v="27"/>
    <n v="0.31764705882352939"/>
  </r>
  <r>
    <x v="14"/>
    <n v="2025"/>
    <x v="1"/>
    <n v="58"/>
    <n v="85"/>
    <n v="700"/>
    <n v="59500"/>
    <n v="40600"/>
    <n v="18900"/>
    <n v="27"/>
    <n v="0.31764705882352939"/>
  </r>
  <r>
    <x v="15"/>
    <n v="2025"/>
    <x v="1"/>
    <n v="58"/>
    <n v="85"/>
    <n v="690"/>
    <n v="58650"/>
    <n v="40020"/>
    <n v="18630"/>
    <n v="27"/>
    <n v="0.31764705882352939"/>
  </r>
  <r>
    <x v="16"/>
    <n v="2025"/>
    <x v="1"/>
    <n v="58"/>
    <n v="85"/>
    <n v="680"/>
    <n v="57800"/>
    <n v="39440"/>
    <n v="18360"/>
    <n v="27"/>
    <n v="0.31764705882352939"/>
  </r>
  <r>
    <x v="17"/>
    <n v="2025"/>
    <x v="1"/>
    <n v="59"/>
    <n v="85"/>
    <n v="600"/>
    <n v="51000"/>
    <n v="35400"/>
    <n v="15600"/>
    <n v="26"/>
    <n v="0.30588235294117649"/>
  </r>
  <r>
    <x v="18"/>
    <n v="2025"/>
    <x v="1"/>
    <n v="59"/>
    <n v="85"/>
    <n v="600"/>
    <n v="51000"/>
    <n v="35400"/>
    <n v="15600"/>
    <n v="26"/>
    <n v="0.30588235294117649"/>
  </r>
  <r>
    <x v="19"/>
    <n v="2025"/>
    <x v="1"/>
    <n v="59"/>
    <n v="85"/>
    <n v="650"/>
    <n v="55250"/>
    <n v="38350"/>
    <n v="16900"/>
    <n v="26"/>
    <n v="0.30588235294117649"/>
  </r>
  <r>
    <x v="20"/>
    <n v="2025"/>
    <x v="1"/>
    <n v="65"/>
    <n v="85"/>
    <n v="600"/>
    <n v="51000"/>
    <n v="39000"/>
    <n v="12000"/>
    <n v="20"/>
    <n v="0.23529411764705882"/>
  </r>
  <r>
    <x v="21"/>
    <n v="2025"/>
    <x v="1"/>
    <n v="65"/>
    <n v="85"/>
    <n v="590"/>
    <n v="50150"/>
    <n v="38350"/>
    <n v="11800"/>
    <n v="20"/>
    <n v="0.23529411764705882"/>
  </r>
  <r>
    <x v="22"/>
    <n v="2025"/>
    <x v="1"/>
    <n v="60"/>
    <n v="85"/>
    <n v="580"/>
    <n v="49300"/>
    <n v="34800"/>
    <n v="14500"/>
    <n v="25"/>
    <n v="0.29411764705882354"/>
  </r>
  <r>
    <x v="23"/>
    <n v="2025"/>
    <x v="1"/>
    <n v="60"/>
    <n v="85"/>
    <n v="550"/>
    <n v="46750"/>
    <n v="33000"/>
    <n v="13750"/>
    <n v="25"/>
    <n v="0.29411764705882354"/>
  </r>
  <r>
    <x v="0"/>
    <n v="2024"/>
    <x v="2"/>
    <n v="78"/>
    <n v="104.76"/>
    <n v="569"/>
    <n v="59608.44"/>
    <n v="44382"/>
    <n v="15226.440000000002"/>
    <n v="26.760000000000005"/>
    <n v="0.25544100801832764"/>
  </r>
  <r>
    <x v="1"/>
    <n v="2024"/>
    <x v="2"/>
    <n v="78"/>
    <n v="104.76"/>
    <n v="430"/>
    <n v="45046.8"/>
    <n v="33540"/>
    <n v="11506.800000000003"/>
    <n v="26.760000000000005"/>
    <n v="0.25544100801832764"/>
  </r>
  <r>
    <x v="2"/>
    <n v="2024"/>
    <x v="2"/>
    <n v="78"/>
    <n v="104.76"/>
    <n v="487"/>
    <n v="51018.12"/>
    <n v="37986"/>
    <n v="13032.120000000003"/>
    <n v="26.760000000000005"/>
    <n v="0.25544100801832764"/>
  </r>
  <r>
    <x v="3"/>
    <n v="2024"/>
    <x v="2"/>
    <n v="78"/>
    <n v="104.76"/>
    <n v="499"/>
    <n v="52275.240000000005"/>
    <n v="38922"/>
    <n v="13353.240000000005"/>
    <n v="26.760000000000005"/>
    <n v="0.25544100801832764"/>
  </r>
  <r>
    <x v="4"/>
    <n v="2024"/>
    <x v="2"/>
    <n v="80"/>
    <n v="104.76"/>
    <n v="467"/>
    <n v="48922.920000000006"/>
    <n v="37360"/>
    <n v="11562.920000000006"/>
    <n v="24.760000000000005"/>
    <n v="0.23634975181366938"/>
  </r>
  <r>
    <x v="5"/>
    <n v="2024"/>
    <x v="2"/>
    <n v="80"/>
    <n v="104.76"/>
    <n v="567"/>
    <n v="59398.920000000006"/>
    <n v="45360"/>
    <n v="14038.920000000006"/>
    <n v="24.760000000000005"/>
    <n v="0.23634975181366938"/>
  </r>
  <r>
    <x v="6"/>
    <n v="2024"/>
    <x v="2"/>
    <n v="82"/>
    <n v="104.76"/>
    <n v="534"/>
    <n v="55941.840000000004"/>
    <n v="43788"/>
    <n v="12153.840000000004"/>
    <n v="22.760000000000005"/>
    <n v="0.21725849560901112"/>
  </r>
  <r>
    <x v="7"/>
    <n v="2024"/>
    <x v="2"/>
    <n v="83"/>
    <n v="104.76"/>
    <n v="444"/>
    <n v="46513.440000000002"/>
    <n v="36852"/>
    <n v="9661.4400000000023"/>
    <n v="21.760000000000005"/>
    <n v="0.20771286750668197"/>
  </r>
  <r>
    <x v="8"/>
    <n v="2024"/>
    <x v="2"/>
    <n v="84"/>
    <n v="104.76"/>
    <n v="468"/>
    <n v="49027.68"/>
    <n v="39312"/>
    <n v="9715.68"/>
    <n v="20.760000000000005"/>
    <n v="0.19816723940435285"/>
  </r>
  <r>
    <x v="9"/>
    <n v="2024"/>
    <x v="2"/>
    <n v="85"/>
    <n v="104.76"/>
    <n v="471"/>
    <n v="49341.96"/>
    <n v="40035"/>
    <n v="9306.9599999999991"/>
    <n v="19.760000000000005"/>
    <n v="0.18862161130202371"/>
  </r>
  <r>
    <x v="10"/>
    <n v="2024"/>
    <x v="2"/>
    <n v="85"/>
    <n v="104.76"/>
    <n v="484"/>
    <n v="50703.840000000004"/>
    <n v="41140"/>
    <n v="9563.8400000000038"/>
    <n v="19.760000000000005"/>
    <n v="0.18862161130202371"/>
  </r>
  <r>
    <x v="11"/>
    <n v="2024"/>
    <x v="2"/>
    <n v="85"/>
    <n v="104.76"/>
    <n v="576"/>
    <n v="60341.760000000002"/>
    <n v="48960"/>
    <n v="11381.760000000002"/>
    <n v="19.760000000000005"/>
    <n v="0.18862161130202371"/>
  </r>
  <r>
    <x v="12"/>
    <n v="2025"/>
    <x v="2"/>
    <n v="85"/>
    <n v="110"/>
    <n v="565"/>
    <n v="62150"/>
    <n v="48025"/>
    <n v="14125"/>
    <n v="25"/>
    <n v="0.22727272727272727"/>
  </r>
  <r>
    <x v="13"/>
    <n v="2025"/>
    <x v="2"/>
    <n v="85"/>
    <n v="110"/>
    <n v="444"/>
    <n v="48840"/>
    <n v="37740"/>
    <n v="11100"/>
    <n v="25"/>
    <n v="0.22727272727272727"/>
  </r>
  <r>
    <x v="14"/>
    <n v="2025"/>
    <x v="2"/>
    <n v="85"/>
    <n v="110"/>
    <n v="538"/>
    <n v="59180"/>
    <n v="45730"/>
    <n v="13450"/>
    <n v="25"/>
    <n v="0.22727272727272727"/>
  </r>
  <r>
    <x v="15"/>
    <n v="2025"/>
    <x v="2"/>
    <n v="88"/>
    <n v="110"/>
    <n v="519"/>
    <n v="57090"/>
    <n v="45672"/>
    <n v="11418"/>
    <n v="22"/>
    <n v="0.2"/>
  </r>
  <r>
    <x v="16"/>
    <n v="2025"/>
    <x v="2"/>
    <n v="88"/>
    <n v="110"/>
    <n v="554"/>
    <n v="60940"/>
    <n v="48752"/>
    <n v="12188"/>
    <n v="22"/>
    <n v="0.2"/>
  </r>
  <r>
    <x v="17"/>
    <n v="2025"/>
    <x v="2"/>
    <n v="88"/>
    <n v="110"/>
    <n v="578"/>
    <n v="63580"/>
    <n v="50864"/>
    <n v="12716"/>
    <n v="22"/>
    <n v="0.2"/>
  </r>
  <r>
    <x v="18"/>
    <n v="2025"/>
    <x v="2"/>
    <n v="90"/>
    <n v="110"/>
    <n v="570"/>
    <n v="62700"/>
    <n v="51300"/>
    <n v="11400"/>
    <n v="20"/>
    <n v="0.18181818181818182"/>
  </r>
  <r>
    <x v="19"/>
    <n v="2025"/>
    <x v="2"/>
    <n v="90"/>
    <n v="110"/>
    <n v="415"/>
    <n v="45650"/>
    <n v="37350"/>
    <n v="8300"/>
    <n v="20"/>
    <n v="0.18181818181818182"/>
  </r>
  <r>
    <x v="20"/>
    <n v="2025"/>
    <x v="2"/>
    <n v="90"/>
    <n v="110"/>
    <n v="596"/>
    <n v="65560"/>
    <n v="53640"/>
    <n v="11920"/>
    <n v="20"/>
    <n v="0.18181818181818182"/>
  </r>
  <r>
    <x v="21"/>
    <n v="2025"/>
    <x v="2"/>
    <n v="90"/>
    <n v="110"/>
    <n v="599"/>
    <n v="65890"/>
    <n v="53910"/>
    <n v="11980"/>
    <n v="20"/>
    <n v="0.18181818181818182"/>
  </r>
  <r>
    <x v="22"/>
    <n v="2025"/>
    <x v="2"/>
    <n v="90"/>
    <n v="110"/>
    <n v="533"/>
    <n v="58630"/>
    <n v="47970"/>
    <n v="10660"/>
    <n v="20"/>
    <n v="0.18181818181818182"/>
  </r>
  <r>
    <x v="23"/>
    <n v="2025"/>
    <x v="2"/>
    <n v="90"/>
    <n v="110"/>
    <n v="485"/>
    <n v="53350"/>
    <n v="43650"/>
    <n v="9700"/>
    <n v="20"/>
    <n v="0.181818181818181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97F8B-1B84-43B9-888A-81FF202BD5DC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F17" firstHeaderRow="0" firstDataRow="1" firstDataCol="1" rowPageCount="1" colPageCount="1"/>
  <pivotFields count="14">
    <pivotField axis="axisRow" numFmtId="22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numFmtId="1" showAll="0" defaultSubtotal="0"/>
    <pivotField axis="axisPage" showAll="0" defaultSubtotal="0">
      <items count="3">
        <item x="0"/>
        <item x="1"/>
        <item x="2"/>
      </items>
    </pivotField>
    <pivotField showAll="0" defaultSubtotal="0"/>
    <pivotField showAll="0" defaultSubtotal="0"/>
    <pivotField dataField="1" showAll="0" defaultSubtotal="0"/>
    <pivotField dataField="1" numFmtId="3" showAll="0" defaultSubtotal="0"/>
    <pivotField dataField="1" numFmtId="3" showAll="0" defaultSubtotal="0"/>
    <pivotField dataField="1" numFmtId="3" showAll="0" defaultSubtotal="0"/>
    <pivotField showAll="0" defaultSubtotal="0"/>
    <pivotField dataField="1" numFmtId="10"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x="2"/>
        <item sd="0" x="3"/>
      </items>
    </pivotField>
  </pivotFields>
  <rowFields count="3">
    <field x="13"/>
    <field x="11"/>
    <field x="0"/>
  </rowFields>
  <rowItems count="14">
    <i>
      <x v="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" item="0" hier="-1"/>
  </pageFields>
  <dataFields count="5">
    <dataField name="Sum of MarginPct" fld="10" baseField="0" baseItem="0" numFmtId="10"/>
    <dataField name="Sum of Volume" fld="5" baseField="0" baseItem="0"/>
    <dataField name="Sum of Cost" fld="7" baseField="0" baseItem="0" numFmtId="3"/>
    <dataField name="Sum of Profit" fld="8" baseField="0" baseItem="0" numFmtId="3"/>
    <dataField name="Sum of Revenue" fld="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workbookViewId="0">
      <pane ySplit="1" topLeftCell="A4" activePane="bottomLeft" state="frozen"/>
      <selection pane="bottomLeft" activeCell="M6" sqref="M6:M8"/>
    </sheetView>
  </sheetViews>
  <sheetFormatPr defaultRowHeight="14.4" x14ac:dyDescent="0.3"/>
  <cols>
    <col min="1" max="1" width="19.5546875" bestFit="1" customWidth="1"/>
    <col min="2" max="2" width="19.5546875" customWidth="1"/>
    <col min="3" max="3" width="16.44140625" style="1" customWidth="1"/>
    <col min="4" max="8" width="16.44140625" customWidth="1"/>
    <col min="9" max="11" width="16.44140625" style="7" customWidth="1"/>
    <col min="13" max="13" width="9.109375" bestFit="1" customWidth="1"/>
  </cols>
  <sheetData>
    <row r="1" spans="1:13" x14ac:dyDescent="0.3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31</v>
      </c>
      <c r="G1" s="2" t="s">
        <v>32</v>
      </c>
      <c r="H1" s="2" t="s">
        <v>4</v>
      </c>
      <c r="I1" s="5" t="s">
        <v>5</v>
      </c>
      <c r="J1" s="5" t="s">
        <v>6</v>
      </c>
      <c r="K1" s="5" t="s">
        <v>10</v>
      </c>
    </row>
    <row r="2" spans="1:13" x14ac:dyDescent="0.3">
      <c r="A2" s="3">
        <v>45292</v>
      </c>
      <c r="B2" s="8">
        <f t="shared" ref="B2:B33" si="0">YEAR(A2)</f>
        <v>2024</v>
      </c>
      <c r="C2" s="9" t="s">
        <v>7</v>
      </c>
      <c r="D2" s="4">
        <v>50</v>
      </c>
      <c r="E2" s="4">
        <v>85</v>
      </c>
      <c r="F2" s="4">
        <f>E2-D2</f>
        <v>35</v>
      </c>
      <c r="G2" s="17">
        <f>F2/E2</f>
        <v>0.41176470588235292</v>
      </c>
      <c r="H2" s="4">
        <v>600</v>
      </c>
      <c r="I2" s="6">
        <f t="shared" ref="I2:I33" si="1">E2*H2</f>
        <v>51000</v>
      </c>
      <c r="J2" s="6">
        <f t="shared" ref="J2:J65" si="2">D2*H2</f>
        <v>30000</v>
      </c>
      <c r="K2" s="6">
        <f t="shared" ref="K2:K33" si="3">I2-J2</f>
        <v>21000</v>
      </c>
    </row>
    <row r="3" spans="1:13" x14ac:dyDescent="0.3">
      <c r="A3" s="3">
        <v>45323</v>
      </c>
      <c r="B3" s="8">
        <f t="shared" si="0"/>
        <v>2024</v>
      </c>
      <c r="C3" s="9" t="s">
        <v>7</v>
      </c>
      <c r="D3" s="4">
        <v>50</v>
      </c>
      <c r="E3" s="4">
        <v>85</v>
      </c>
      <c r="F3" s="4">
        <f t="shared" ref="F3:F66" si="4">E3-D3</f>
        <v>35</v>
      </c>
      <c r="G3" s="17">
        <f t="shared" ref="G3:G66" si="5">F3/E3</f>
        <v>0.41176470588235292</v>
      </c>
      <c r="H3" s="4">
        <v>700</v>
      </c>
      <c r="I3" s="6">
        <f t="shared" si="1"/>
        <v>59500</v>
      </c>
      <c r="J3" s="6">
        <f t="shared" si="2"/>
        <v>35000</v>
      </c>
      <c r="K3" s="6">
        <f t="shared" si="3"/>
        <v>24500</v>
      </c>
    </row>
    <row r="4" spans="1:13" x14ac:dyDescent="0.3">
      <c r="A4" s="3">
        <v>45352</v>
      </c>
      <c r="B4" s="8">
        <f t="shared" si="0"/>
        <v>2024</v>
      </c>
      <c r="C4" s="9" t="s">
        <v>7</v>
      </c>
      <c r="D4" s="4">
        <v>50</v>
      </c>
      <c r="E4" s="4">
        <v>85</v>
      </c>
      <c r="F4" s="4">
        <f t="shared" si="4"/>
        <v>35</v>
      </c>
      <c r="G4" s="17">
        <f t="shared" si="5"/>
        <v>0.41176470588235292</v>
      </c>
      <c r="H4" s="4">
        <v>750</v>
      </c>
      <c r="I4" s="6">
        <f t="shared" si="1"/>
        <v>63750</v>
      </c>
      <c r="J4" s="6">
        <f t="shared" si="2"/>
        <v>37500</v>
      </c>
      <c r="K4" s="6">
        <f t="shared" si="3"/>
        <v>26250</v>
      </c>
    </row>
    <row r="5" spans="1:13" x14ac:dyDescent="0.3">
      <c r="A5" s="3">
        <v>45383</v>
      </c>
      <c r="B5" s="8">
        <f t="shared" si="0"/>
        <v>2024</v>
      </c>
      <c r="C5" s="9" t="s">
        <v>7</v>
      </c>
      <c r="D5" s="4">
        <v>50</v>
      </c>
      <c r="E5" s="4">
        <v>85</v>
      </c>
      <c r="F5" s="4">
        <f t="shared" si="4"/>
        <v>35</v>
      </c>
      <c r="G5" s="17">
        <f t="shared" si="5"/>
        <v>0.41176470588235292</v>
      </c>
      <c r="H5" s="4">
        <v>800</v>
      </c>
      <c r="I5" s="6">
        <f t="shared" si="1"/>
        <v>68000</v>
      </c>
      <c r="J5" s="6">
        <f t="shared" si="2"/>
        <v>40000</v>
      </c>
      <c r="K5" s="6">
        <f t="shared" si="3"/>
        <v>28000</v>
      </c>
    </row>
    <row r="6" spans="1:13" x14ac:dyDescent="0.3">
      <c r="A6" s="3">
        <v>45413</v>
      </c>
      <c r="B6" s="8">
        <f t="shared" si="0"/>
        <v>2024</v>
      </c>
      <c r="C6" s="9" t="s">
        <v>7</v>
      </c>
      <c r="D6" s="4">
        <v>50</v>
      </c>
      <c r="E6" s="4">
        <v>90</v>
      </c>
      <c r="F6" s="4">
        <f t="shared" si="4"/>
        <v>40</v>
      </c>
      <c r="G6" s="17">
        <f t="shared" si="5"/>
        <v>0.44444444444444442</v>
      </c>
      <c r="H6" s="4">
        <v>900</v>
      </c>
      <c r="I6" s="6">
        <f t="shared" si="1"/>
        <v>81000</v>
      </c>
      <c r="J6" s="6">
        <f t="shared" si="2"/>
        <v>45000</v>
      </c>
      <c r="K6" s="6">
        <f t="shared" si="3"/>
        <v>36000</v>
      </c>
      <c r="M6" s="7"/>
    </row>
    <row r="7" spans="1:13" x14ac:dyDescent="0.3">
      <c r="A7" s="3">
        <v>45444</v>
      </c>
      <c r="B7" s="8">
        <f t="shared" si="0"/>
        <v>2024</v>
      </c>
      <c r="C7" s="9" t="s">
        <v>7</v>
      </c>
      <c r="D7" s="4">
        <v>50</v>
      </c>
      <c r="E7" s="4">
        <v>90</v>
      </c>
      <c r="F7" s="4">
        <f t="shared" si="4"/>
        <v>40</v>
      </c>
      <c r="G7" s="17">
        <f t="shared" si="5"/>
        <v>0.44444444444444442</v>
      </c>
      <c r="H7" s="4">
        <v>960</v>
      </c>
      <c r="I7" s="6">
        <f t="shared" si="1"/>
        <v>86400</v>
      </c>
      <c r="J7" s="6">
        <f t="shared" si="2"/>
        <v>48000</v>
      </c>
      <c r="K7" s="6">
        <f t="shared" si="3"/>
        <v>38400</v>
      </c>
      <c r="M7" s="7"/>
    </row>
    <row r="8" spans="1:13" x14ac:dyDescent="0.3">
      <c r="A8" s="3">
        <v>45474</v>
      </c>
      <c r="B8" s="8">
        <f t="shared" si="0"/>
        <v>2024</v>
      </c>
      <c r="C8" s="9" t="s">
        <v>7</v>
      </c>
      <c r="D8" s="4">
        <v>60</v>
      </c>
      <c r="E8" s="4">
        <v>90</v>
      </c>
      <c r="F8" s="4">
        <f t="shared" si="4"/>
        <v>30</v>
      </c>
      <c r="G8" s="17">
        <f t="shared" si="5"/>
        <v>0.33333333333333331</v>
      </c>
      <c r="H8" s="4">
        <v>1000</v>
      </c>
      <c r="I8" s="6">
        <f t="shared" si="1"/>
        <v>90000</v>
      </c>
      <c r="J8" s="6">
        <f t="shared" si="2"/>
        <v>60000</v>
      </c>
      <c r="K8" s="6">
        <f t="shared" si="3"/>
        <v>30000</v>
      </c>
      <c r="M8" s="18"/>
    </row>
    <row r="9" spans="1:13" x14ac:dyDescent="0.3">
      <c r="A9" s="3">
        <v>45505</v>
      </c>
      <c r="B9" s="8">
        <f t="shared" si="0"/>
        <v>2024</v>
      </c>
      <c r="C9" s="9" t="s">
        <v>7</v>
      </c>
      <c r="D9" s="4">
        <v>60</v>
      </c>
      <c r="E9" s="4">
        <v>90</v>
      </c>
      <c r="F9" s="4">
        <f t="shared" si="4"/>
        <v>30</v>
      </c>
      <c r="G9" s="17">
        <f t="shared" si="5"/>
        <v>0.33333333333333331</v>
      </c>
      <c r="H9" s="4">
        <v>1100</v>
      </c>
      <c r="I9" s="6">
        <f t="shared" si="1"/>
        <v>99000</v>
      </c>
      <c r="J9" s="6">
        <f t="shared" si="2"/>
        <v>66000</v>
      </c>
      <c r="K9" s="6">
        <f t="shared" si="3"/>
        <v>33000</v>
      </c>
    </row>
    <row r="10" spans="1:13" x14ac:dyDescent="0.3">
      <c r="A10" s="3">
        <v>45536</v>
      </c>
      <c r="B10" s="8">
        <f t="shared" si="0"/>
        <v>2024</v>
      </c>
      <c r="C10" s="9" t="s">
        <v>7</v>
      </c>
      <c r="D10" s="4">
        <v>60</v>
      </c>
      <c r="E10" s="4">
        <v>90</v>
      </c>
      <c r="F10" s="4">
        <f t="shared" si="4"/>
        <v>30</v>
      </c>
      <c r="G10" s="17">
        <f t="shared" si="5"/>
        <v>0.33333333333333331</v>
      </c>
      <c r="H10" s="4">
        <v>1200</v>
      </c>
      <c r="I10" s="6">
        <f t="shared" si="1"/>
        <v>108000</v>
      </c>
      <c r="J10" s="6">
        <f t="shared" si="2"/>
        <v>72000</v>
      </c>
      <c r="K10" s="6">
        <f t="shared" si="3"/>
        <v>36000</v>
      </c>
    </row>
    <row r="11" spans="1:13" x14ac:dyDescent="0.3">
      <c r="A11" s="3">
        <v>45566</v>
      </c>
      <c r="B11" s="8">
        <f t="shared" si="0"/>
        <v>2024</v>
      </c>
      <c r="C11" s="9" t="s">
        <v>7</v>
      </c>
      <c r="D11" s="4">
        <v>60</v>
      </c>
      <c r="E11" s="4">
        <v>100</v>
      </c>
      <c r="F11" s="4">
        <f t="shared" si="4"/>
        <v>40</v>
      </c>
      <c r="G11" s="17">
        <f t="shared" si="5"/>
        <v>0.4</v>
      </c>
      <c r="H11" s="4">
        <v>1500</v>
      </c>
      <c r="I11" s="6">
        <f t="shared" si="1"/>
        <v>150000</v>
      </c>
      <c r="J11" s="6">
        <f t="shared" si="2"/>
        <v>90000</v>
      </c>
      <c r="K11" s="6">
        <f t="shared" si="3"/>
        <v>60000</v>
      </c>
    </row>
    <row r="12" spans="1:13" x14ac:dyDescent="0.3">
      <c r="A12" s="3">
        <v>45597</v>
      </c>
      <c r="B12" s="8">
        <f t="shared" si="0"/>
        <v>2024</v>
      </c>
      <c r="C12" s="9" t="s">
        <v>7</v>
      </c>
      <c r="D12" s="4">
        <v>60</v>
      </c>
      <c r="E12" s="4">
        <v>100</v>
      </c>
      <c r="F12" s="4">
        <f t="shared" si="4"/>
        <v>40</v>
      </c>
      <c r="G12" s="17">
        <f t="shared" si="5"/>
        <v>0.4</v>
      </c>
      <c r="H12" s="4">
        <v>1600</v>
      </c>
      <c r="I12" s="6">
        <f t="shared" si="1"/>
        <v>160000</v>
      </c>
      <c r="J12" s="6">
        <f t="shared" si="2"/>
        <v>96000</v>
      </c>
      <c r="K12" s="6">
        <f t="shared" si="3"/>
        <v>64000</v>
      </c>
    </row>
    <row r="13" spans="1:13" x14ac:dyDescent="0.3">
      <c r="A13" s="3">
        <v>45627</v>
      </c>
      <c r="B13" s="8">
        <f t="shared" si="0"/>
        <v>2024</v>
      </c>
      <c r="C13" s="9" t="s">
        <v>7</v>
      </c>
      <c r="D13" s="4">
        <v>60</v>
      </c>
      <c r="E13" s="4">
        <v>100</v>
      </c>
      <c r="F13" s="4">
        <f t="shared" si="4"/>
        <v>40</v>
      </c>
      <c r="G13" s="17">
        <f t="shared" si="5"/>
        <v>0.4</v>
      </c>
      <c r="H13" s="4">
        <v>1800</v>
      </c>
      <c r="I13" s="6">
        <f t="shared" si="1"/>
        <v>180000</v>
      </c>
      <c r="J13" s="6">
        <f t="shared" si="2"/>
        <v>108000</v>
      </c>
      <c r="K13" s="6">
        <f t="shared" si="3"/>
        <v>72000</v>
      </c>
    </row>
    <row r="14" spans="1:13" x14ac:dyDescent="0.3">
      <c r="A14" s="3">
        <v>45658</v>
      </c>
      <c r="B14" s="8">
        <f t="shared" si="0"/>
        <v>2025</v>
      </c>
      <c r="C14" s="9" t="s">
        <v>7</v>
      </c>
      <c r="D14" s="4">
        <v>70</v>
      </c>
      <c r="E14" s="4">
        <v>100</v>
      </c>
      <c r="F14" s="4">
        <f t="shared" si="4"/>
        <v>30</v>
      </c>
      <c r="G14" s="17">
        <f t="shared" si="5"/>
        <v>0.3</v>
      </c>
      <c r="H14" s="4">
        <v>2000</v>
      </c>
      <c r="I14" s="6">
        <f t="shared" si="1"/>
        <v>200000</v>
      </c>
      <c r="J14" s="6">
        <f t="shared" si="2"/>
        <v>140000</v>
      </c>
      <c r="K14" s="6">
        <f t="shared" si="3"/>
        <v>60000</v>
      </c>
    </row>
    <row r="15" spans="1:13" x14ac:dyDescent="0.3">
      <c r="A15" s="3">
        <v>45689</v>
      </c>
      <c r="B15" s="8">
        <f t="shared" si="0"/>
        <v>2025</v>
      </c>
      <c r="C15" s="9" t="s">
        <v>7</v>
      </c>
      <c r="D15" s="4">
        <v>70</v>
      </c>
      <c r="E15" s="4">
        <v>100</v>
      </c>
      <c r="F15" s="4">
        <f t="shared" si="4"/>
        <v>30</v>
      </c>
      <c r="G15" s="17">
        <f t="shared" si="5"/>
        <v>0.3</v>
      </c>
      <c r="H15" s="4">
        <v>2200</v>
      </c>
      <c r="I15" s="6">
        <f t="shared" si="1"/>
        <v>220000</v>
      </c>
      <c r="J15" s="6">
        <f t="shared" si="2"/>
        <v>154000</v>
      </c>
      <c r="K15" s="6">
        <f t="shared" si="3"/>
        <v>66000</v>
      </c>
    </row>
    <row r="16" spans="1:13" x14ac:dyDescent="0.3">
      <c r="A16" s="3">
        <v>45717</v>
      </c>
      <c r="B16" s="8">
        <f t="shared" si="0"/>
        <v>2025</v>
      </c>
      <c r="C16" s="9" t="s">
        <v>7</v>
      </c>
      <c r="D16" s="4">
        <v>70</v>
      </c>
      <c r="E16" s="4">
        <v>100</v>
      </c>
      <c r="F16" s="4">
        <f t="shared" si="4"/>
        <v>30</v>
      </c>
      <c r="G16" s="17">
        <f t="shared" si="5"/>
        <v>0.3</v>
      </c>
      <c r="H16" s="4">
        <v>2500</v>
      </c>
      <c r="I16" s="6">
        <f t="shared" si="1"/>
        <v>250000</v>
      </c>
      <c r="J16" s="6">
        <f t="shared" si="2"/>
        <v>175000</v>
      </c>
      <c r="K16" s="6">
        <f t="shared" si="3"/>
        <v>75000</v>
      </c>
    </row>
    <row r="17" spans="1:11" x14ac:dyDescent="0.3">
      <c r="A17" s="3">
        <v>45748</v>
      </c>
      <c r="B17" s="8">
        <f t="shared" si="0"/>
        <v>2025</v>
      </c>
      <c r="C17" s="9" t="s">
        <v>7</v>
      </c>
      <c r="D17" s="4">
        <v>70</v>
      </c>
      <c r="E17" s="4">
        <v>100</v>
      </c>
      <c r="F17" s="4">
        <f t="shared" si="4"/>
        <v>30</v>
      </c>
      <c r="G17" s="17">
        <f t="shared" si="5"/>
        <v>0.3</v>
      </c>
      <c r="H17" s="4">
        <v>2600</v>
      </c>
      <c r="I17" s="6">
        <f t="shared" si="1"/>
        <v>260000</v>
      </c>
      <c r="J17" s="6">
        <f t="shared" si="2"/>
        <v>182000</v>
      </c>
      <c r="K17" s="6">
        <f t="shared" si="3"/>
        <v>78000</v>
      </c>
    </row>
    <row r="18" spans="1:11" x14ac:dyDescent="0.3">
      <c r="A18" s="3">
        <v>45778</v>
      </c>
      <c r="B18" s="8">
        <f t="shared" si="0"/>
        <v>2025</v>
      </c>
      <c r="C18" s="9" t="s">
        <v>7</v>
      </c>
      <c r="D18" s="4">
        <v>75</v>
      </c>
      <c r="E18" s="4">
        <v>110</v>
      </c>
      <c r="F18" s="4">
        <f t="shared" si="4"/>
        <v>35</v>
      </c>
      <c r="G18" s="17">
        <f t="shared" si="5"/>
        <v>0.31818181818181818</v>
      </c>
      <c r="H18" s="4">
        <v>2700</v>
      </c>
      <c r="I18" s="6">
        <f t="shared" si="1"/>
        <v>297000</v>
      </c>
      <c r="J18" s="6">
        <f t="shared" si="2"/>
        <v>202500</v>
      </c>
      <c r="K18" s="6">
        <f t="shared" si="3"/>
        <v>94500</v>
      </c>
    </row>
    <row r="19" spans="1:11" x14ac:dyDescent="0.3">
      <c r="A19" s="3">
        <v>45809</v>
      </c>
      <c r="B19" s="8">
        <f t="shared" si="0"/>
        <v>2025</v>
      </c>
      <c r="C19" s="9" t="s">
        <v>7</v>
      </c>
      <c r="D19" s="4">
        <v>75</v>
      </c>
      <c r="E19" s="4">
        <v>110</v>
      </c>
      <c r="F19" s="4">
        <f t="shared" si="4"/>
        <v>35</v>
      </c>
      <c r="G19" s="17">
        <f t="shared" si="5"/>
        <v>0.31818181818181818</v>
      </c>
      <c r="H19" s="4">
        <v>2950</v>
      </c>
      <c r="I19" s="6">
        <f t="shared" si="1"/>
        <v>324500</v>
      </c>
      <c r="J19" s="6">
        <f t="shared" si="2"/>
        <v>221250</v>
      </c>
      <c r="K19" s="6">
        <f t="shared" si="3"/>
        <v>103250</v>
      </c>
    </row>
    <row r="20" spans="1:11" x14ac:dyDescent="0.3">
      <c r="A20" s="3">
        <v>45839</v>
      </c>
      <c r="B20" s="8">
        <f t="shared" si="0"/>
        <v>2025</v>
      </c>
      <c r="C20" s="9" t="s">
        <v>7</v>
      </c>
      <c r="D20" s="4">
        <v>75</v>
      </c>
      <c r="E20" s="4">
        <v>110</v>
      </c>
      <c r="F20" s="4">
        <f t="shared" si="4"/>
        <v>35</v>
      </c>
      <c r="G20" s="17">
        <f t="shared" si="5"/>
        <v>0.31818181818181818</v>
      </c>
      <c r="H20" s="4">
        <v>3100</v>
      </c>
      <c r="I20" s="6">
        <f t="shared" si="1"/>
        <v>341000</v>
      </c>
      <c r="J20" s="6">
        <f t="shared" si="2"/>
        <v>232500</v>
      </c>
      <c r="K20" s="6">
        <f t="shared" si="3"/>
        <v>108500</v>
      </c>
    </row>
    <row r="21" spans="1:11" x14ac:dyDescent="0.3">
      <c r="A21" s="3">
        <v>45870</v>
      </c>
      <c r="B21" s="8">
        <f t="shared" si="0"/>
        <v>2025</v>
      </c>
      <c r="C21" s="9" t="s">
        <v>7</v>
      </c>
      <c r="D21" s="4">
        <v>75</v>
      </c>
      <c r="E21" s="4">
        <v>110</v>
      </c>
      <c r="F21" s="4">
        <f t="shared" si="4"/>
        <v>35</v>
      </c>
      <c r="G21" s="17">
        <f t="shared" si="5"/>
        <v>0.31818181818181818</v>
      </c>
      <c r="H21" s="4">
        <v>3200</v>
      </c>
      <c r="I21" s="6">
        <f t="shared" si="1"/>
        <v>352000</v>
      </c>
      <c r="J21" s="6">
        <f t="shared" si="2"/>
        <v>240000</v>
      </c>
      <c r="K21" s="6">
        <f t="shared" si="3"/>
        <v>112000</v>
      </c>
    </row>
    <row r="22" spans="1:11" x14ac:dyDescent="0.3">
      <c r="A22" s="3">
        <v>45901</v>
      </c>
      <c r="B22" s="8">
        <f t="shared" si="0"/>
        <v>2025</v>
      </c>
      <c r="C22" s="9" t="s">
        <v>7</v>
      </c>
      <c r="D22" s="4">
        <v>75</v>
      </c>
      <c r="E22" s="4">
        <v>100</v>
      </c>
      <c r="F22" s="4">
        <f t="shared" si="4"/>
        <v>25</v>
      </c>
      <c r="G22" s="17">
        <f t="shared" si="5"/>
        <v>0.25</v>
      </c>
      <c r="H22" s="4">
        <v>3300</v>
      </c>
      <c r="I22" s="6">
        <f t="shared" si="1"/>
        <v>330000</v>
      </c>
      <c r="J22" s="6">
        <f t="shared" si="2"/>
        <v>247500</v>
      </c>
      <c r="K22" s="6">
        <f t="shared" si="3"/>
        <v>82500</v>
      </c>
    </row>
    <row r="23" spans="1:11" x14ac:dyDescent="0.3">
      <c r="A23" s="3">
        <v>45931</v>
      </c>
      <c r="B23" s="8">
        <f t="shared" si="0"/>
        <v>2025</v>
      </c>
      <c r="C23" s="9" t="s">
        <v>7</v>
      </c>
      <c r="D23" s="4">
        <v>75</v>
      </c>
      <c r="E23" s="4">
        <v>100</v>
      </c>
      <c r="F23" s="4">
        <f t="shared" si="4"/>
        <v>25</v>
      </c>
      <c r="G23" s="17">
        <f t="shared" si="5"/>
        <v>0.25</v>
      </c>
      <c r="H23" s="4">
        <v>3500</v>
      </c>
      <c r="I23" s="6">
        <f t="shared" si="1"/>
        <v>350000</v>
      </c>
      <c r="J23" s="6">
        <f t="shared" si="2"/>
        <v>262500</v>
      </c>
      <c r="K23" s="6">
        <f t="shared" si="3"/>
        <v>87500</v>
      </c>
    </row>
    <row r="24" spans="1:11" x14ac:dyDescent="0.3">
      <c r="A24" s="3">
        <v>45962</v>
      </c>
      <c r="B24" s="8">
        <f t="shared" si="0"/>
        <v>2025</v>
      </c>
      <c r="C24" s="9" t="s">
        <v>7</v>
      </c>
      <c r="D24" s="4">
        <v>75</v>
      </c>
      <c r="E24" s="4">
        <v>100</v>
      </c>
      <c r="F24" s="4">
        <f t="shared" si="4"/>
        <v>25</v>
      </c>
      <c r="G24" s="17">
        <f t="shared" si="5"/>
        <v>0.25</v>
      </c>
      <c r="H24" s="4">
        <v>3600</v>
      </c>
      <c r="I24" s="6">
        <f t="shared" si="1"/>
        <v>360000</v>
      </c>
      <c r="J24" s="6">
        <f t="shared" si="2"/>
        <v>270000</v>
      </c>
      <c r="K24" s="6">
        <f t="shared" si="3"/>
        <v>90000</v>
      </c>
    </row>
    <row r="25" spans="1:11" x14ac:dyDescent="0.3">
      <c r="A25" s="3">
        <v>45992</v>
      </c>
      <c r="B25" s="8">
        <f t="shared" si="0"/>
        <v>2025</v>
      </c>
      <c r="C25" s="9" t="s">
        <v>7</v>
      </c>
      <c r="D25" s="4">
        <v>75</v>
      </c>
      <c r="E25" s="4">
        <v>100</v>
      </c>
      <c r="F25" s="4">
        <f t="shared" si="4"/>
        <v>25</v>
      </c>
      <c r="G25" s="17">
        <f t="shared" si="5"/>
        <v>0.25</v>
      </c>
      <c r="H25" s="4">
        <v>3900</v>
      </c>
      <c r="I25" s="6">
        <f t="shared" si="1"/>
        <v>390000</v>
      </c>
      <c r="J25" s="6">
        <f t="shared" si="2"/>
        <v>292500</v>
      </c>
      <c r="K25" s="6">
        <f t="shared" si="3"/>
        <v>97500</v>
      </c>
    </row>
    <row r="26" spans="1:11" x14ac:dyDescent="0.3">
      <c r="A26" s="3">
        <v>46023</v>
      </c>
      <c r="B26" s="8">
        <v>2026</v>
      </c>
      <c r="C26" s="10" t="s">
        <v>8</v>
      </c>
      <c r="D26" s="4">
        <v>48</v>
      </c>
      <c r="E26" s="4">
        <v>80.95</v>
      </c>
      <c r="F26" s="4">
        <f t="shared" si="4"/>
        <v>32.950000000000003</v>
      </c>
      <c r="G26" s="17">
        <f t="shared" si="5"/>
        <v>0.407041383570105</v>
      </c>
      <c r="H26" s="4">
        <v>900</v>
      </c>
      <c r="I26" s="6">
        <f t="shared" si="1"/>
        <v>72855</v>
      </c>
      <c r="J26" s="6">
        <f t="shared" si="2"/>
        <v>43200</v>
      </c>
      <c r="K26" s="6">
        <f t="shared" si="3"/>
        <v>29655</v>
      </c>
    </row>
    <row r="27" spans="1:11" x14ac:dyDescent="0.3">
      <c r="A27" s="3">
        <v>45323</v>
      </c>
      <c r="B27" s="8">
        <f t="shared" si="0"/>
        <v>2024</v>
      </c>
      <c r="C27" s="10" t="s">
        <v>8</v>
      </c>
      <c r="D27" s="4">
        <v>48</v>
      </c>
      <c r="E27" s="4">
        <v>80.95</v>
      </c>
      <c r="F27" s="4">
        <f t="shared" si="4"/>
        <v>32.950000000000003</v>
      </c>
      <c r="G27" s="17">
        <f t="shared" si="5"/>
        <v>0.407041383570105</v>
      </c>
      <c r="H27" s="4">
        <v>950</v>
      </c>
      <c r="I27" s="6">
        <f t="shared" si="1"/>
        <v>76902.5</v>
      </c>
      <c r="J27" s="6">
        <f t="shared" si="2"/>
        <v>45600</v>
      </c>
      <c r="K27" s="6">
        <f t="shared" si="3"/>
        <v>31302.5</v>
      </c>
    </row>
    <row r="28" spans="1:11" x14ac:dyDescent="0.3">
      <c r="A28" s="3">
        <v>45352</v>
      </c>
      <c r="B28" s="8">
        <f t="shared" si="0"/>
        <v>2024</v>
      </c>
      <c r="C28" s="10" t="s">
        <v>8</v>
      </c>
      <c r="D28" s="4">
        <v>48</v>
      </c>
      <c r="E28" s="4">
        <v>80.95</v>
      </c>
      <c r="F28" s="4">
        <f t="shared" si="4"/>
        <v>32.950000000000003</v>
      </c>
      <c r="G28" s="17">
        <f t="shared" si="5"/>
        <v>0.407041383570105</v>
      </c>
      <c r="H28" s="4">
        <v>940</v>
      </c>
      <c r="I28" s="6">
        <f t="shared" si="1"/>
        <v>76093</v>
      </c>
      <c r="J28" s="6">
        <f t="shared" si="2"/>
        <v>45120</v>
      </c>
      <c r="K28" s="6">
        <f t="shared" si="3"/>
        <v>30973</v>
      </c>
    </row>
    <row r="29" spans="1:11" x14ac:dyDescent="0.3">
      <c r="A29" s="3">
        <v>45383</v>
      </c>
      <c r="B29" s="8">
        <f t="shared" si="0"/>
        <v>2024</v>
      </c>
      <c r="C29" s="10" t="s">
        <v>8</v>
      </c>
      <c r="D29" s="4">
        <v>48</v>
      </c>
      <c r="E29" s="4">
        <v>80.95</v>
      </c>
      <c r="F29" s="4">
        <f t="shared" si="4"/>
        <v>32.950000000000003</v>
      </c>
      <c r="G29" s="17">
        <f t="shared" si="5"/>
        <v>0.407041383570105</v>
      </c>
      <c r="H29" s="4">
        <v>900</v>
      </c>
      <c r="I29" s="6">
        <f t="shared" si="1"/>
        <v>72855</v>
      </c>
      <c r="J29" s="6">
        <f t="shared" si="2"/>
        <v>43200</v>
      </c>
      <c r="K29" s="6">
        <f t="shared" si="3"/>
        <v>29655</v>
      </c>
    </row>
    <row r="30" spans="1:11" x14ac:dyDescent="0.3">
      <c r="A30" s="3">
        <v>45413</v>
      </c>
      <c r="B30" s="8">
        <f t="shared" si="0"/>
        <v>2024</v>
      </c>
      <c r="C30" s="10" t="s">
        <v>8</v>
      </c>
      <c r="D30" s="4">
        <v>48</v>
      </c>
      <c r="E30" s="4">
        <v>80.95</v>
      </c>
      <c r="F30" s="4">
        <f t="shared" si="4"/>
        <v>32.950000000000003</v>
      </c>
      <c r="G30" s="17">
        <f t="shared" si="5"/>
        <v>0.407041383570105</v>
      </c>
      <c r="H30" s="4">
        <v>890</v>
      </c>
      <c r="I30" s="6">
        <f t="shared" si="1"/>
        <v>72045.5</v>
      </c>
      <c r="J30" s="6">
        <f t="shared" si="2"/>
        <v>42720</v>
      </c>
      <c r="K30" s="6">
        <f t="shared" si="3"/>
        <v>29325.5</v>
      </c>
    </row>
    <row r="31" spans="1:11" x14ac:dyDescent="0.3">
      <c r="A31" s="3">
        <v>45444</v>
      </c>
      <c r="B31" s="8">
        <f t="shared" si="0"/>
        <v>2024</v>
      </c>
      <c r="C31" s="10" t="s">
        <v>8</v>
      </c>
      <c r="D31" s="4">
        <v>50</v>
      </c>
      <c r="E31" s="4">
        <v>80.95</v>
      </c>
      <c r="F31" s="4">
        <f t="shared" si="4"/>
        <v>30.950000000000003</v>
      </c>
      <c r="G31" s="17">
        <f t="shared" si="5"/>
        <v>0.38233477455219272</v>
      </c>
      <c r="H31" s="4">
        <v>880</v>
      </c>
      <c r="I31" s="6">
        <f t="shared" si="1"/>
        <v>71236</v>
      </c>
      <c r="J31" s="6">
        <f t="shared" si="2"/>
        <v>44000</v>
      </c>
      <c r="K31" s="6">
        <f t="shared" si="3"/>
        <v>27236</v>
      </c>
    </row>
    <row r="32" spans="1:11" x14ac:dyDescent="0.3">
      <c r="A32" s="3">
        <v>45474</v>
      </c>
      <c r="B32" s="8">
        <f t="shared" si="0"/>
        <v>2024</v>
      </c>
      <c r="C32" s="10" t="s">
        <v>8</v>
      </c>
      <c r="D32" s="4">
        <v>50</v>
      </c>
      <c r="E32" s="4">
        <v>80.95</v>
      </c>
      <c r="F32" s="4">
        <f t="shared" si="4"/>
        <v>30.950000000000003</v>
      </c>
      <c r="G32" s="17">
        <f t="shared" si="5"/>
        <v>0.38233477455219272</v>
      </c>
      <c r="H32" s="4">
        <v>800</v>
      </c>
      <c r="I32" s="6">
        <f t="shared" si="1"/>
        <v>64760</v>
      </c>
      <c r="J32" s="6">
        <f t="shared" si="2"/>
        <v>40000</v>
      </c>
      <c r="K32" s="6">
        <f t="shared" si="3"/>
        <v>24760</v>
      </c>
    </row>
    <row r="33" spans="1:11" x14ac:dyDescent="0.3">
      <c r="A33" s="3">
        <v>45505</v>
      </c>
      <c r="B33" s="8">
        <f t="shared" si="0"/>
        <v>2024</v>
      </c>
      <c r="C33" s="10" t="s">
        <v>8</v>
      </c>
      <c r="D33" s="4">
        <v>50</v>
      </c>
      <c r="E33" s="4">
        <v>80.95</v>
      </c>
      <c r="F33" s="4">
        <f t="shared" si="4"/>
        <v>30.950000000000003</v>
      </c>
      <c r="G33" s="17">
        <f t="shared" si="5"/>
        <v>0.38233477455219272</v>
      </c>
      <c r="H33" s="4">
        <v>850</v>
      </c>
      <c r="I33" s="6">
        <f t="shared" si="1"/>
        <v>68807.5</v>
      </c>
      <c r="J33" s="6">
        <f t="shared" si="2"/>
        <v>42500</v>
      </c>
      <c r="K33" s="6">
        <f t="shared" si="3"/>
        <v>26307.5</v>
      </c>
    </row>
    <row r="34" spans="1:11" x14ac:dyDescent="0.3">
      <c r="A34" s="3">
        <v>45536</v>
      </c>
      <c r="B34" s="8">
        <f t="shared" ref="B34:B65" si="6">YEAR(A34)</f>
        <v>2024</v>
      </c>
      <c r="C34" s="10" t="s">
        <v>8</v>
      </c>
      <c r="D34" s="4">
        <v>55</v>
      </c>
      <c r="E34" s="4">
        <v>80.95</v>
      </c>
      <c r="F34" s="4">
        <f t="shared" si="4"/>
        <v>25.950000000000003</v>
      </c>
      <c r="G34" s="17">
        <f t="shared" si="5"/>
        <v>0.32056825200741201</v>
      </c>
      <c r="H34" s="4">
        <v>800</v>
      </c>
      <c r="I34" s="6">
        <f t="shared" ref="I34:I65" si="7">E34*H34</f>
        <v>64760</v>
      </c>
      <c r="J34" s="6">
        <f t="shared" si="2"/>
        <v>44000</v>
      </c>
      <c r="K34" s="6">
        <f t="shared" ref="K34:K65" si="8">I34-J34</f>
        <v>20760</v>
      </c>
    </row>
    <row r="35" spans="1:11" x14ac:dyDescent="0.3">
      <c r="A35" s="3">
        <v>45566</v>
      </c>
      <c r="B35" s="8">
        <f t="shared" si="6"/>
        <v>2024</v>
      </c>
      <c r="C35" s="10" t="s">
        <v>8</v>
      </c>
      <c r="D35" s="4">
        <v>55</v>
      </c>
      <c r="E35" s="4">
        <v>80.95</v>
      </c>
      <c r="F35" s="4">
        <f t="shared" si="4"/>
        <v>25.950000000000003</v>
      </c>
      <c r="G35" s="17">
        <f t="shared" si="5"/>
        <v>0.32056825200741201</v>
      </c>
      <c r="H35" s="4">
        <v>790</v>
      </c>
      <c r="I35" s="6">
        <f t="shared" si="7"/>
        <v>63950.5</v>
      </c>
      <c r="J35" s="6">
        <f t="shared" si="2"/>
        <v>43450</v>
      </c>
      <c r="K35" s="6">
        <f t="shared" si="8"/>
        <v>20500.5</v>
      </c>
    </row>
    <row r="36" spans="1:11" x14ac:dyDescent="0.3">
      <c r="A36" s="3">
        <v>45597</v>
      </c>
      <c r="B36" s="8">
        <f t="shared" si="6"/>
        <v>2024</v>
      </c>
      <c r="C36" s="10" t="s">
        <v>8</v>
      </c>
      <c r="D36" s="4">
        <v>55</v>
      </c>
      <c r="E36" s="4">
        <v>80.95</v>
      </c>
      <c r="F36" s="4">
        <f t="shared" si="4"/>
        <v>25.950000000000003</v>
      </c>
      <c r="G36" s="17">
        <f t="shared" si="5"/>
        <v>0.32056825200741201</v>
      </c>
      <c r="H36" s="4">
        <v>780</v>
      </c>
      <c r="I36" s="6">
        <f t="shared" si="7"/>
        <v>63141</v>
      </c>
      <c r="J36" s="6">
        <f t="shared" si="2"/>
        <v>42900</v>
      </c>
      <c r="K36" s="6">
        <f t="shared" si="8"/>
        <v>20241</v>
      </c>
    </row>
    <row r="37" spans="1:11" x14ac:dyDescent="0.3">
      <c r="A37" s="3">
        <v>45627</v>
      </c>
      <c r="B37" s="8">
        <f t="shared" si="6"/>
        <v>2024</v>
      </c>
      <c r="C37" s="10" t="s">
        <v>8</v>
      </c>
      <c r="D37" s="4">
        <v>55</v>
      </c>
      <c r="E37" s="4">
        <v>80.95</v>
      </c>
      <c r="F37" s="4">
        <f t="shared" si="4"/>
        <v>25.950000000000003</v>
      </c>
      <c r="G37" s="17">
        <f t="shared" si="5"/>
        <v>0.32056825200741201</v>
      </c>
      <c r="H37" s="4">
        <v>750</v>
      </c>
      <c r="I37" s="6">
        <f t="shared" si="7"/>
        <v>60712.5</v>
      </c>
      <c r="J37" s="6">
        <f t="shared" si="2"/>
        <v>41250</v>
      </c>
      <c r="K37" s="6">
        <f t="shared" si="8"/>
        <v>19462.5</v>
      </c>
    </row>
    <row r="38" spans="1:11" x14ac:dyDescent="0.3">
      <c r="A38" s="3">
        <v>45658</v>
      </c>
      <c r="B38" s="8">
        <f t="shared" si="6"/>
        <v>2025</v>
      </c>
      <c r="C38" s="10" t="s">
        <v>8</v>
      </c>
      <c r="D38" s="4">
        <v>55</v>
      </c>
      <c r="E38" s="4">
        <v>85</v>
      </c>
      <c r="F38" s="4">
        <f t="shared" si="4"/>
        <v>30</v>
      </c>
      <c r="G38" s="17">
        <f t="shared" si="5"/>
        <v>0.35294117647058826</v>
      </c>
      <c r="H38" s="4">
        <v>750</v>
      </c>
      <c r="I38" s="6">
        <f t="shared" si="7"/>
        <v>63750</v>
      </c>
      <c r="J38" s="6">
        <f t="shared" si="2"/>
        <v>41250</v>
      </c>
      <c r="K38" s="6">
        <f t="shared" si="8"/>
        <v>22500</v>
      </c>
    </row>
    <row r="39" spans="1:11" x14ac:dyDescent="0.3">
      <c r="A39" s="3">
        <v>45689</v>
      </c>
      <c r="B39" s="8">
        <f t="shared" si="6"/>
        <v>2025</v>
      </c>
      <c r="C39" s="10" t="s">
        <v>8</v>
      </c>
      <c r="D39" s="4">
        <v>58</v>
      </c>
      <c r="E39" s="4">
        <v>85</v>
      </c>
      <c r="F39" s="4">
        <f t="shared" si="4"/>
        <v>27</v>
      </c>
      <c r="G39" s="17">
        <f t="shared" si="5"/>
        <v>0.31764705882352939</v>
      </c>
      <c r="H39" s="4">
        <v>780</v>
      </c>
      <c r="I39" s="6">
        <f t="shared" si="7"/>
        <v>66300</v>
      </c>
      <c r="J39" s="6">
        <f t="shared" si="2"/>
        <v>45240</v>
      </c>
      <c r="K39" s="6">
        <f t="shared" si="8"/>
        <v>21060</v>
      </c>
    </row>
    <row r="40" spans="1:11" x14ac:dyDescent="0.3">
      <c r="A40" s="3">
        <v>45717</v>
      </c>
      <c r="B40" s="8">
        <f t="shared" si="6"/>
        <v>2025</v>
      </c>
      <c r="C40" s="10" t="s">
        <v>8</v>
      </c>
      <c r="D40" s="4">
        <v>58</v>
      </c>
      <c r="E40" s="4">
        <v>85</v>
      </c>
      <c r="F40" s="4">
        <f t="shared" si="4"/>
        <v>27</v>
      </c>
      <c r="G40" s="17">
        <f t="shared" si="5"/>
        <v>0.31764705882352939</v>
      </c>
      <c r="H40" s="4">
        <v>700</v>
      </c>
      <c r="I40" s="6">
        <f t="shared" si="7"/>
        <v>59500</v>
      </c>
      <c r="J40" s="6">
        <f t="shared" si="2"/>
        <v>40600</v>
      </c>
      <c r="K40" s="6">
        <f t="shared" si="8"/>
        <v>18900</v>
      </c>
    </row>
    <row r="41" spans="1:11" x14ac:dyDescent="0.3">
      <c r="A41" s="3">
        <v>45748</v>
      </c>
      <c r="B41" s="8">
        <f t="shared" si="6"/>
        <v>2025</v>
      </c>
      <c r="C41" s="10" t="s">
        <v>8</v>
      </c>
      <c r="D41" s="4">
        <v>58</v>
      </c>
      <c r="E41" s="4">
        <v>85</v>
      </c>
      <c r="F41" s="4">
        <f t="shared" si="4"/>
        <v>27</v>
      </c>
      <c r="G41" s="17">
        <f t="shared" si="5"/>
        <v>0.31764705882352939</v>
      </c>
      <c r="H41" s="4">
        <v>690</v>
      </c>
      <c r="I41" s="6">
        <f t="shared" si="7"/>
        <v>58650</v>
      </c>
      <c r="J41" s="6">
        <f t="shared" si="2"/>
        <v>40020</v>
      </c>
      <c r="K41" s="6">
        <f t="shared" si="8"/>
        <v>18630</v>
      </c>
    </row>
    <row r="42" spans="1:11" x14ac:dyDescent="0.3">
      <c r="A42" s="3">
        <v>45778</v>
      </c>
      <c r="B42" s="8">
        <f t="shared" si="6"/>
        <v>2025</v>
      </c>
      <c r="C42" s="10" t="s">
        <v>8</v>
      </c>
      <c r="D42" s="4">
        <v>58</v>
      </c>
      <c r="E42" s="4">
        <v>85</v>
      </c>
      <c r="F42" s="4">
        <f t="shared" si="4"/>
        <v>27</v>
      </c>
      <c r="G42" s="17">
        <f t="shared" si="5"/>
        <v>0.31764705882352939</v>
      </c>
      <c r="H42" s="4">
        <v>680</v>
      </c>
      <c r="I42" s="6">
        <f t="shared" si="7"/>
        <v>57800</v>
      </c>
      <c r="J42" s="6">
        <f t="shared" si="2"/>
        <v>39440</v>
      </c>
      <c r="K42" s="6">
        <f t="shared" si="8"/>
        <v>18360</v>
      </c>
    </row>
    <row r="43" spans="1:11" x14ac:dyDescent="0.3">
      <c r="A43" s="3">
        <v>45809</v>
      </c>
      <c r="B43" s="8">
        <f t="shared" si="6"/>
        <v>2025</v>
      </c>
      <c r="C43" s="10" t="s">
        <v>8</v>
      </c>
      <c r="D43" s="4">
        <v>59</v>
      </c>
      <c r="E43" s="4">
        <v>85</v>
      </c>
      <c r="F43" s="4">
        <f t="shared" si="4"/>
        <v>26</v>
      </c>
      <c r="G43" s="17">
        <f t="shared" si="5"/>
        <v>0.30588235294117649</v>
      </c>
      <c r="H43" s="4">
        <v>600</v>
      </c>
      <c r="I43" s="6">
        <f t="shared" si="7"/>
        <v>51000</v>
      </c>
      <c r="J43" s="6">
        <f t="shared" si="2"/>
        <v>35400</v>
      </c>
      <c r="K43" s="6">
        <f t="shared" si="8"/>
        <v>15600</v>
      </c>
    </row>
    <row r="44" spans="1:11" x14ac:dyDescent="0.3">
      <c r="A44" s="3">
        <v>45839</v>
      </c>
      <c r="B44" s="8">
        <f t="shared" si="6"/>
        <v>2025</v>
      </c>
      <c r="C44" s="10" t="s">
        <v>8</v>
      </c>
      <c r="D44" s="4">
        <v>59</v>
      </c>
      <c r="E44" s="4">
        <v>85</v>
      </c>
      <c r="F44" s="4">
        <f t="shared" si="4"/>
        <v>26</v>
      </c>
      <c r="G44" s="17">
        <f t="shared" si="5"/>
        <v>0.30588235294117649</v>
      </c>
      <c r="H44" s="4">
        <v>600</v>
      </c>
      <c r="I44" s="6">
        <f t="shared" si="7"/>
        <v>51000</v>
      </c>
      <c r="J44" s="6">
        <f t="shared" si="2"/>
        <v>35400</v>
      </c>
      <c r="K44" s="6">
        <f t="shared" si="8"/>
        <v>15600</v>
      </c>
    </row>
    <row r="45" spans="1:11" x14ac:dyDescent="0.3">
      <c r="A45" s="3">
        <v>45870</v>
      </c>
      <c r="B45" s="8">
        <f t="shared" si="6"/>
        <v>2025</v>
      </c>
      <c r="C45" s="10" t="s">
        <v>8</v>
      </c>
      <c r="D45" s="4">
        <v>59</v>
      </c>
      <c r="E45" s="4">
        <v>85</v>
      </c>
      <c r="F45" s="4">
        <f t="shared" si="4"/>
        <v>26</v>
      </c>
      <c r="G45" s="17">
        <f t="shared" si="5"/>
        <v>0.30588235294117649</v>
      </c>
      <c r="H45" s="4">
        <v>650</v>
      </c>
      <c r="I45" s="6">
        <f t="shared" si="7"/>
        <v>55250</v>
      </c>
      <c r="J45" s="6">
        <f t="shared" si="2"/>
        <v>38350</v>
      </c>
      <c r="K45" s="6">
        <f t="shared" si="8"/>
        <v>16900</v>
      </c>
    </row>
    <row r="46" spans="1:11" x14ac:dyDescent="0.3">
      <c r="A46" s="3">
        <v>45901</v>
      </c>
      <c r="B46" s="8">
        <f t="shared" si="6"/>
        <v>2025</v>
      </c>
      <c r="C46" s="10" t="s">
        <v>8</v>
      </c>
      <c r="D46" s="4">
        <v>65</v>
      </c>
      <c r="E46" s="4">
        <v>85</v>
      </c>
      <c r="F46" s="4">
        <f t="shared" si="4"/>
        <v>20</v>
      </c>
      <c r="G46" s="17">
        <f t="shared" si="5"/>
        <v>0.23529411764705882</v>
      </c>
      <c r="H46" s="4">
        <v>600</v>
      </c>
      <c r="I46" s="6">
        <f t="shared" si="7"/>
        <v>51000</v>
      </c>
      <c r="J46" s="6">
        <f t="shared" si="2"/>
        <v>39000</v>
      </c>
      <c r="K46" s="6">
        <f t="shared" si="8"/>
        <v>12000</v>
      </c>
    </row>
    <row r="47" spans="1:11" x14ac:dyDescent="0.3">
      <c r="A47" s="3">
        <v>45931</v>
      </c>
      <c r="B47" s="8">
        <f t="shared" si="6"/>
        <v>2025</v>
      </c>
      <c r="C47" s="10" t="s">
        <v>8</v>
      </c>
      <c r="D47" s="4">
        <v>65</v>
      </c>
      <c r="E47" s="4">
        <v>85</v>
      </c>
      <c r="F47" s="4">
        <f t="shared" si="4"/>
        <v>20</v>
      </c>
      <c r="G47" s="17">
        <f t="shared" si="5"/>
        <v>0.23529411764705882</v>
      </c>
      <c r="H47" s="4">
        <v>590</v>
      </c>
      <c r="I47" s="6">
        <f t="shared" si="7"/>
        <v>50150</v>
      </c>
      <c r="J47" s="6">
        <f t="shared" si="2"/>
        <v>38350</v>
      </c>
      <c r="K47" s="6">
        <f t="shared" si="8"/>
        <v>11800</v>
      </c>
    </row>
    <row r="48" spans="1:11" x14ac:dyDescent="0.3">
      <c r="A48" s="3">
        <v>45962</v>
      </c>
      <c r="B48" s="8">
        <f t="shared" si="6"/>
        <v>2025</v>
      </c>
      <c r="C48" s="10" t="s">
        <v>8</v>
      </c>
      <c r="D48" s="4">
        <v>60</v>
      </c>
      <c r="E48" s="4">
        <v>85</v>
      </c>
      <c r="F48" s="4">
        <f t="shared" si="4"/>
        <v>25</v>
      </c>
      <c r="G48" s="17">
        <f t="shared" si="5"/>
        <v>0.29411764705882354</v>
      </c>
      <c r="H48" s="4">
        <v>580</v>
      </c>
      <c r="I48" s="6">
        <f t="shared" si="7"/>
        <v>49300</v>
      </c>
      <c r="J48" s="6">
        <f t="shared" si="2"/>
        <v>34800</v>
      </c>
      <c r="K48" s="6">
        <f t="shared" si="8"/>
        <v>14500</v>
      </c>
    </row>
    <row r="49" spans="1:11" x14ac:dyDescent="0.3">
      <c r="A49" s="3">
        <v>45992</v>
      </c>
      <c r="B49" s="8">
        <f t="shared" si="6"/>
        <v>2025</v>
      </c>
      <c r="C49" s="10" t="s">
        <v>8</v>
      </c>
      <c r="D49" s="4">
        <v>60</v>
      </c>
      <c r="E49" s="4">
        <v>85</v>
      </c>
      <c r="F49" s="4">
        <f t="shared" si="4"/>
        <v>25</v>
      </c>
      <c r="G49" s="17">
        <f t="shared" si="5"/>
        <v>0.29411764705882354</v>
      </c>
      <c r="H49" s="4">
        <v>550</v>
      </c>
      <c r="I49" s="6">
        <f t="shared" si="7"/>
        <v>46750</v>
      </c>
      <c r="J49" s="6">
        <f t="shared" si="2"/>
        <v>33000</v>
      </c>
      <c r="K49" s="6">
        <f t="shared" si="8"/>
        <v>13750</v>
      </c>
    </row>
    <row r="50" spans="1:11" x14ac:dyDescent="0.3">
      <c r="A50" s="3">
        <v>45292</v>
      </c>
      <c r="B50" s="8">
        <f t="shared" si="6"/>
        <v>2024</v>
      </c>
      <c r="C50" s="11" t="s">
        <v>9</v>
      </c>
      <c r="D50" s="4">
        <v>78</v>
      </c>
      <c r="E50" s="4">
        <v>104.76</v>
      </c>
      <c r="F50" s="4">
        <f t="shared" si="4"/>
        <v>26.760000000000005</v>
      </c>
      <c r="G50" s="17">
        <f t="shared" si="5"/>
        <v>0.25544100801832764</v>
      </c>
      <c r="H50" s="4">
        <v>569</v>
      </c>
      <c r="I50" s="6">
        <f t="shared" si="7"/>
        <v>59608.44</v>
      </c>
      <c r="J50" s="6">
        <f t="shared" si="2"/>
        <v>44382</v>
      </c>
      <c r="K50" s="6">
        <f t="shared" si="8"/>
        <v>15226.440000000002</v>
      </c>
    </row>
    <row r="51" spans="1:11" x14ac:dyDescent="0.3">
      <c r="A51" s="3">
        <v>45323</v>
      </c>
      <c r="B51" s="8">
        <f t="shared" si="6"/>
        <v>2024</v>
      </c>
      <c r="C51" s="11" t="s">
        <v>9</v>
      </c>
      <c r="D51" s="4">
        <v>78</v>
      </c>
      <c r="E51" s="4">
        <v>104.76</v>
      </c>
      <c r="F51" s="4">
        <f t="shared" si="4"/>
        <v>26.760000000000005</v>
      </c>
      <c r="G51" s="17">
        <f t="shared" si="5"/>
        <v>0.25544100801832764</v>
      </c>
      <c r="H51" s="4">
        <v>430</v>
      </c>
      <c r="I51" s="6">
        <f t="shared" si="7"/>
        <v>45046.8</v>
      </c>
      <c r="J51" s="6">
        <f t="shared" si="2"/>
        <v>33540</v>
      </c>
      <c r="K51" s="6">
        <f t="shared" si="8"/>
        <v>11506.800000000003</v>
      </c>
    </row>
    <row r="52" spans="1:11" x14ac:dyDescent="0.3">
      <c r="A52" s="3">
        <v>45352</v>
      </c>
      <c r="B52" s="8">
        <f t="shared" si="6"/>
        <v>2024</v>
      </c>
      <c r="C52" s="11" t="s">
        <v>9</v>
      </c>
      <c r="D52" s="4">
        <v>78</v>
      </c>
      <c r="E52" s="4">
        <v>104.76</v>
      </c>
      <c r="F52" s="4">
        <f t="shared" si="4"/>
        <v>26.760000000000005</v>
      </c>
      <c r="G52" s="17">
        <f t="shared" si="5"/>
        <v>0.25544100801832764</v>
      </c>
      <c r="H52" s="4">
        <v>487</v>
      </c>
      <c r="I52" s="6">
        <f t="shared" si="7"/>
        <v>51018.12</v>
      </c>
      <c r="J52" s="6">
        <f t="shared" si="2"/>
        <v>37986</v>
      </c>
      <c r="K52" s="6">
        <f t="shared" si="8"/>
        <v>13032.120000000003</v>
      </c>
    </row>
    <row r="53" spans="1:11" x14ac:dyDescent="0.3">
      <c r="A53" s="3">
        <v>45383</v>
      </c>
      <c r="B53" s="8">
        <f t="shared" si="6"/>
        <v>2024</v>
      </c>
      <c r="C53" s="11" t="s">
        <v>9</v>
      </c>
      <c r="D53" s="4">
        <v>78</v>
      </c>
      <c r="E53" s="4">
        <v>104.76</v>
      </c>
      <c r="F53" s="4">
        <f t="shared" si="4"/>
        <v>26.760000000000005</v>
      </c>
      <c r="G53" s="17">
        <f t="shared" si="5"/>
        <v>0.25544100801832764</v>
      </c>
      <c r="H53" s="4">
        <v>499</v>
      </c>
      <c r="I53" s="6">
        <f t="shared" si="7"/>
        <v>52275.240000000005</v>
      </c>
      <c r="J53" s="6">
        <f t="shared" si="2"/>
        <v>38922</v>
      </c>
      <c r="K53" s="6">
        <f t="shared" si="8"/>
        <v>13353.240000000005</v>
      </c>
    </row>
    <row r="54" spans="1:11" x14ac:dyDescent="0.3">
      <c r="A54" s="3">
        <v>45413</v>
      </c>
      <c r="B54" s="8">
        <f t="shared" si="6"/>
        <v>2024</v>
      </c>
      <c r="C54" s="11" t="s">
        <v>9</v>
      </c>
      <c r="D54" s="4">
        <v>80</v>
      </c>
      <c r="E54" s="4">
        <v>104.76</v>
      </c>
      <c r="F54" s="4">
        <f t="shared" si="4"/>
        <v>24.760000000000005</v>
      </c>
      <c r="G54" s="17">
        <f t="shared" si="5"/>
        <v>0.23634975181366938</v>
      </c>
      <c r="H54" s="4">
        <v>467</v>
      </c>
      <c r="I54" s="6">
        <f t="shared" si="7"/>
        <v>48922.920000000006</v>
      </c>
      <c r="J54" s="6">
        <f t="shared" si="2"/>
        <v>37360</v>
      </c>
      <c r="K54" s="6">
        <f t="shared" si="8"/>
        <v>11562.920000000006</v>
      </c>
    </row>
    <row r="55" spans="1:11" x14ac:dyDescent="0.3">
      <c r="A55" s="3">
        <v>45444</v>
      </c>
      <c r="B55" s="8">
        <f t="shared" si="6"/>
        <v>2024</v>
      </c>
      <c r="C55" s="11" t="s">
        <v>9</v>
      </c>
      <c r="D55" s="4">
        <v>80</v>
      </c>
      <c r="E55" s="4">
        <v>104.76</v>
      </c>
      <c r="F55" s="4">
        <f t="shared" si="4"/>
        <v>24.760000000000005</v>
      </c>
      <c r="G55" s="17">
        <f t="shared" si="5"/>
        <v>0.23634975181366938</v>
      </c>
      <c r="H55" s="4">
        <v>567</v>
      </c>
      <c r="I55" s="6">
        <f t="shared" si="7"/>
        <v>59398.920000000006</v>
      </c>
      <c r="J55" s="6">
        <f t="shared" si="2"/>
        <v>45360</v>
      </c>
      <c r="K55" s="6">
        <f t="shared" si="8"/>
        <v>14038.920000000006</v>
      </c>
    </row>
    <row r="56" spans="1:11" x14ac:dyDescent="0.3">
      <c r="A56" s="3">
        <v>45474</v>
      </c>
      <c r="B56" s="8">
        <f t="shared" si="6"/>
        <v>2024</v>
      </c>
      <c r="C56" s="11" t="s">
        <v>9</v>
      </c>
      <c r="D56" s="4">
        <v>82</v>
      </c>
      <c r="E56" s="4">
        <v>104.76</v>
      </c>
      <c r="F56" s="4">
        <f t="shared" si="4"/>
        <v>22.760000000000005</v>
      </c>
      <c r="G56" s="17">
        <f t="shared" si="5"/>
        <v>0.21725849560901112</v>
      </c>
      <c r="H56" s="4">
        <v>534</v>
      </c>
      <c r="I56" s="6">
        <f t="shared" si="7"/>
        <v>55941.840000000004</v>
      </c>
      <c r="J56" s="6">
        <f t="shared" si="2"/>
        <v>43788</v>
      </c>
      <c r="K56" s="6">
        <f t="shared" si="8"/>
        <v>12153.840000000004</v>
      </c>
    </row>
    <row r="57" spans="1:11" x14ac:dyDescent="0.3">
      <c r="A57" s="3">
        <v>45505</v>
      </c>
      <c r="B57" s="8">
        <f t="shared" si="6"/>
        <v>2024</v>
      </c>
      <c r="C57" s="11" t="s">
        <v>9</v>
      </c>
      <c r="D57" s="4">
        <v>83</v>
      </c>
      <c r="E57" s="4">
        <v>104.76</v>
      </c>
      <c r="F57" s="4">
        <f t="shared" si="4"/>
        <v>21.760000000000005</v>
      </c>
      <c r="G57" s="17">
        <f t="shared" si="5"/>
        <v>0.20771286750668197</v>
      </c>
      <c r="H57" s="4">
        <v>444</v>
      </c>
      <c r="I57" s="6">
        <f t="shared" si="7"/>
        <v>46513.440000000002</v>
      </c>
      <c r="J57" s="6">
        <f t="shared" si="2"/>
        <v>36852</v>
      </c>
      <c r="K57" s="6">
        <f t="shared" si="8"/>
        <v>9661.4400000000023</v>
      </c>
    </row>
    <row r="58" spans="1:11" x14ac:dyDescent="0.3">
      <c r="A58" s="3">
        <v>45536</v>
      </c>
      <c r="B58" s="8">
        <f t="shared" si="6"/>
        <v>2024</v>
      </c>
      <c r="C58" s="11" t="s">
        <v>9</v>
      </c>
      <c r="D58" s="4">
        <v>84</v>
      </c>
      <c r="E58" s="4">
        <v>104.76</v>
      </c>
      <c r="F58" s="4">
        <f t="shared" si="4"/>
        <v>20.760000000000005</v>
      </c>
      <c r="G58" s="17">
        <f t="shared" si="5"/>
        <v>0.19816723940435285</v>
      </c>
      <c r="H58" s="4">
        <v>468</v>
      </c>
      <c r="I58" s="6">
        <f t="shared" si="7"/>
        <v>49027.68</v>
      </c>
      <c r="J58" s="6">
        <f t="shared" si="2"/>
        <v>39312</v>
      </c>
      <c r="K58" s="6">
        <f t="shared" si="8"/>
        <v>9715.68</v>
      </c>
    </row>
    <row r="59" spans="1:11" x14ac:dyDescent="0.3">
      <c r="A59" s="3">
        <v>45566</v>
      </c>
      <c r="B59" s="8">
        <f t="shared" si="6"/>
        <v>2024</v>
      </c>
      <c r="C59" s="11" t="s">
        <v>9</v>
      </c>
      <c r="D59" s="4">
        <v>85</v>
      </c>
      <c r="E59" s="4">
        <v>104.76</v>
      </c>
      <c r="F59" s="4">
        <f t="shared" si="4"/>
        <v>19.760000000000005</v>
      </c>
      <c r="G59" s="17">
        <f t="shared" si="5"/>
        <v>0.18862161130202371</v>
      </c>
      <c r="H59" s="4">
        <v>471</v>
      </c>
      <c r="I59" s="6">
        <f t="shared" si="7"/>
        <v>49341.96</v>
      </c>
      <c r="J59" s="6">
        <f t="shared" si="2"/>
        <v>40035</v>
      </c>
      <c r="K59" s="6">
        <f t="shared" si="8"/>
        <v>9306.9599999999991</v>
      </c>
    </row>
    <row r="60" spans="1:11" x14ac:dyDescent="0.3">
      <c r="A60" s="3">
        <v>45597</v>
      </c>
      <c r="B60" s="8">
        <f t="shared" si="6"/>
        <v>2024</v>
      </c>
      <c r="C60" s="11" t="s">
        <v>9</v>
      </c>
      <c r="D60" s="4">
        <v>85</v>
      </c>
      <c r="E60" s="4">
        <v>104.76</v>
      </c>
      <c r="F60" s="4">
        <f t="shared" si="4"/>
        <v>19.760000000000005</v>
      </c>
      <c r="G60" s="17">
        <f t="shared" si="5"/>
        <v>0.18862161130202371</v>
      </c>
      <c r="H60" s="4">
        <v>484</v>
      </c>
      <c r="I60" s="6">
        <f t="shared" si="7"/>
        <v>50703.840000000004</v>
      </c>
      <c r="J60" s="6">
        <f t="shared" si="2"/>
        <v>41140</v>
      </c>
      <c r="K60" s="6">
        <f t="shared" si="8"/>
        <v>9563.8400000000038</v>
      </c>
    </row>
    <row r="61" spans="1:11" x14ac:dyDescent="0.3">
      <c r="A61" s="3">
        <v>45627</v>
      </c>
      <c r="B61" s="8">
        <f t="shared" si="6"/>
        <v>2024</v>
      </c>
      <c r="C61" s="11" t="s">
        <v>9</v>
      </c>
      <c r="D61" s="4">
        <v>85</v>
      </c>
      <c r="E61" s="4">
        <v>104.76</v>
      </c>
      <c r="F61" s="4">
        <f t="shared" si="4"/>
        <v>19.760000000000005</v>
      </c>
      <c r="G61" s="17">
        <f t="shared" si="5"/>
        <v>0.18862161130202371</v>
      </c>
      <c r="H61" s="4">
        <v>576</v>
      </c>
      <c r="I61" s="6">
        <f t="shared" si="7"/>
        <v>60341.760000000002</v>
      </c>
      <c r="J61" s="6">
        <f t="shared" si="2"/>
        <v>48960</v>
      </c>
      <c r="K61" s="6">
        <f t="shared" si="8"/>
        <v>11381.760000000002</v>
      </c>
    </row>
    <row r="62" spans="1:11" x14ac:dyDescent="0.3">
      <c r="A62" s="3">
        <v>45658</v>
      </c>
      <c r="B62" s="8">
        <f t="shared" si="6"/>
        <v>2025</v>
      </c>
      <c r="C62" s="11" t="s">
        <v>9</v>
      </c>
      <c r="D62" s="4">
        <v>85</v>
      </c>
      <c r="E62" s="4">
        <v>110</v>
      </c>
      <c r="F62" s="4">
        <f t="shared" si="4"/>
        <v>25</v>
      </c>
      <c r="G62" s="17">
        <f t="shared" si="5"/>
        <v>0.22727272727272727</v>
      </c>
      <c r="H62" s="4">
        <v>565</v>
      </c>
      <c r="I62" s="6">
        <f t="shared" si="7"/>
        <v>62150</v>
      </c>
      <c r="J62" s="6">
        <f t="shared" si="2"/>
        <v>48025</v>
      </c>
      <c r="K62" s="6">
        <f t="shared" si="8"/>
        <v>14125</v>
      </c>
    </row>
    <row r="63" spans="1:11" x14ac:dyDescent="0.3">
      <c r="A63" s="3">
        <v>45689</v>
      </c>
      <c r="B63" s="8">
        <f t="shared" si="6"/>
        <v>2025</v>
      </c>
      <c r="C63" s="11" t="s">
        <v>9</v>
      </c>
      <c r="D63" s="4">
        <v>85</v>
      </c>
      <c r="E63" s="4">
        <v>110</v>
      </c>
      <c r="F63" s="4">
        <f t="shared" si="4"/>
        <v>25</v>
      </c>
      <c r="G63" s="17">
        <f t="shared" si="5"/>
        <v>0.22727272727272727</v>
      </c>
      <c r="H63" s="4">
        <v>444</v>
      </c>
      <c r="I63" s="6">
        <f t="shared" si="7"/>
        <v>48840</v>
      </c>
      <c r="J63" s="6">
        <f t="shared" si="2"/>
        <v>37740</v>
      </c>
      <c r="K63" s="6">
        <f t="shared" si="8"/>
        <v>11100</v>
      </c>
    </row>
    <row r="64" spans="1:11" x14ac:dyDescent="0.3">
      <c r="A64" s="3">
        <v>45717</v>
      </c>
      <c r="B64" s="8">
        <f t="shared" si="6"/>
        <v>2025</v>
      </c>
      <c r="C64" s="11" t="s">
        <v>9</v>
      </c>
      <c r="D64" s="4">
        <v>85</v>
      </c>
      <c r="E64" s="4">
        <v>110</v>
      </c>
      <c r="F64" s="4">
        <f t="shared" si="4"/>
        <v>25</v>
      </c>
      <c r="G64" s="17">
        <f t="shared" si="5"/>
        <v>0.22727272727272727</v>
      </c>
      <c r="H64" s="4">
        <v>538</v>
      </c>
      <c r="I64" s="6">
        <f t="shared" si="7"/>
        <v>59180</v>
      </c>
      <c r="J64" s="6">
        <f t="shared" si="2"/>
        <v>45730</v>
      </c>
      <c r="K64" s="6">
        <f t="shared" si="8"/>
        <v>13450</v>
      </c>
    </row>
    <row r="65" spans="1:11" x14ac:dyDescent="0.3">
      <c r="A65" s="3">
        <v>45748</v>
      </c>
      <c r="B65" s="8">
        <f t="shared" si="6"/>
        <v>2025</v>
      </c>
      <c r="C65" s="11" t="s">
        <v>9</v>
      </c>
      <c r="D65" s="4">
        <v>88</v>
      </c>
      <c r="E65" s="4">
        <v>110</v>
      </c>
      <c r="F65" s="4">
        <f t="shared" si="4"/>
        <v>22</v>
      </c>
      <c r="G65" s="17">
        <f t="shared" si="5"/>
        <v>0.2</v>
      </c>
      <c r="H65" s="4">
        <v>519</v>
      </c>
      <c r="I65" s="6">
        <f t="shared" si="7"/>
        <v>57090</v>
      </c>
      <c r="J65" s="6">
        <f t="shared" si="2"/>
        <v>45672</v>
      </c>
      <c r="K65" s="6">
        <f t="shared" si="8"/>
        <v>11418</v>
      </c>
    </row>
    <row r="66" spans="1:11" x14ac:dyDescent="0.3">
      <c r="A66" s="3">
        <v>45778</v>
      </c>
      <c r="B66" s="8">
        <f t="shared" ref="B66:B73" si="9">YEAR(A66)</f>
        <v>2025</v>
      </c>
      <c r="C66" s="11" t="s">
        <v>9</v>
      </c>
      <c r="D66" s="4">
        <v>88</v>
      </c>
      <c r="E66" s="4">
        <v>110</v>
      </c>
      <c r="F66" s="4">
        <f t="shared" si="4"/>
        <v>22</v>
      </c>
      <c r="G66" s="17">
        <f t="shared" si="5"/>
        <v>0.2</v>
      </c>
      <c r="H66" s="4">
        <v>554</v>
      </c>
      <c r="I66" s="6">
        <f t="shared" ref="I66:I73" si="10">E66*H66</f>
        <v>60940</v>
      </c>
      <c r="J66" s="6">
        <f t="shared" ref="J66" si="11">D66*H66</f>
        <v>48752</v>
      </c>
      <c r="K66" s="6">
        <f t="shared" ref="K66:K73" si="12">I66-J66</f>
        <v>12188</v>
      </c>
    </row>
    <row r="67" spans="1:11" x14ac:dyDescent="0.3">
      <c r="A67" s="3">
        <v>45809</v>
      </c>
      <c r="B67" s="8">
        <f t="shared" si="9"/>
        <v>2025</v>
      </c>
      <c r="C67" s="11" t="s">
        <v>9</v>
      </c>
      <c r="D67" s="4">
        <v>88</v>
      </c>
      <c r="E67" s="4">
        <v>110</v>
      </c>
      <c r="F67" s="4">
        <f t="shared" ref="F67:F73" si="13">E67-D67</f>
        <v>22</v>
      </c>
      <c r="G67" s="17">
        <f t="shared" ref="G67:G73" si="14">F67/E67</f>
        <v>0.2</v>
      </c>
      <c r="H67" s="4">
        <v>578</v>
      </c>
      <c r="I67" s="6">
        <f t="shared" si="10"/>
        <v>63580</v>
      </c>
      <c r="J67" s="6">
        <f t="shared" ref="J67:J73" si="15">D67*H67</f>
        <v>50864</v>
      </c>
      <c r="K67" s="6">
        <f t="shared" si="12"/>
        <v>12716</v>
      </c>
    </row>
    <row r="68" spans="1:11" x14ac:dyDescent="0.3">
      <c r="A68" s="3">
        <v>45839</v>
      </c>
      <c r="B68" s="8">
        <f t="shared" si="9"/>
        <v>2025</v>
      </c>
      <c r="C68" s="11" t="s">
        <v>9</v>
      </c>
      <c r="D68" s="4">
        <v>90</v>
      </c>
      <c r="E68" s="4">
        <v>110</v>
      </c>
      <c r="F68" s="4">
        <f t="shared" si="13"/>
        <v>20</v>
      </c>
      <c r="G68" s="17">
        <f t="shared" si="14"/>
        <v>0.18181818181818182</v>
      </c>
      <c r="H68" s="4">
        <v>570</v>
      </c>
      <c r="I68" s="6">
        <f t="shared" si="10"/>
        <v>62700</v>
      </c>
      <c r="J68" s="6">
        <f t="shared" si="15"/>
        <v>51300</v>
      </c>
      <c r="K68" s="6">
        <f t="shared" si="12"/>
        <v>11400</v>
      </c>
    </row>
    <row r="69" spans="1:11" x14ac:dyDescent="0.3">
      <c r="A69" s="3">
        <v>45870</v>
      </c>
      <c r="B69" s="8">
        <f t="shared" si="9"/>
        <v>2025</v>
      </c>
      <c r="C69" s="11" t="s">
        <v>9</v>
      </c>
      <c r="D69" s="4">
        <v>90</v>
      </c>
      <c r="E69" s="4">
        <v>110</v>
      </c>
      <c r="F69" s="4">
        <f t="shared" si="13"/>
        <v>20</v>
      </c>
      <c r="G69" s="17">
        <f t="shared" si="14"/>
        <v>0.18181818181818182</v>
      </c>
      <c r="H69" s="4">
        <v>415</v>
      </c>
      <c r="I69" s="6">
        <f t="shared" si="10"/>
        <v>45650</v>
      </c>
      <c r="J69" s="6">
        <f t="shared" si="15"/>
        <v>37350</v>
      </c>
      <c r="K69" s="6">
        <f t="shared" si="12"/>
        <v>8300</v>
      </c>
    </row>
    <row r="70" spans="1:11" x14ac:dyDescent="0.3">
      <c r="A70" s="3">
        <v>45901</v>
      </c>
      <c r="B70" s="8">
        <f t="shared" si="9"/>
        <v>2025</v>
      </c>
      <c r="C70" s="11" t="s">
        <v>9</v>
      </c>
      <c r="D70" s="4">
        <v>90</v>
      </c>
      <c r="E70" s="4">
        <v>110</v>
      </c>
      <c r="F70" s="4">
        <f t="shared" si="13"/>
        <v>20</v>
      </c>
      <c r="G70" s="17">
        <f t="shared" si="14"/>
        <v>0.18181818181818182</v>
      </c>
      <c r="H70" s="4">
        <v>596</v>
      </c>
      <c r="I70" s="6">
        <f t="shared" si="10"/>
        <v>65560</v>
      </c>
      <c r="J70" s="6">
        <f t="shared" si="15"/>
        <v>53640</v>
      </c>
      <c r="K70" s="6">
        <f t="shared" si="12"/>
        <v>11920</v>
      </c>
    </row>
    <row r="71" spans="1:11" x14ac:dyDescent="0.3">
      <c r="A71" s="3">
        <v>45931</v>
      </c>
      <c r="B71" s="8">
        <f t="shared" si="9"/>
        <v>2025</v>
      </c>
      <c r="C71" s="11" t="s">
        <v>9</v>
      </c>
      <c r="D71" s="4">
        <v>90</v>
      </c>
      <c r="E71" s="4">
        <v>110</v>
      </c>
      <c r="F71" s="4">
        <f t="shared" si="13"/>
        <v>20</v>
      </c>
      <c r="G71" s="17">
        <f t="shared" si="14"/>
        <v>0.18181818181818182</v>
      </c>
      <c r="H71" s="4">
        <v>599</v>
      </c>
      <c r="I71" s="6">
        <f t="shared" si="10"/>
        <v>65890</v>
      </c>
      <c r="J71" s="6">
        <f t="shared" si="15"/>
        <v>53910</v>
      </c>
      <c r="K71" s="6">
        <f t="shared" si="12"/>
        <v>11980</v>
      </c>
    </row>
    <row r="72" spans="1:11" x14ac:dyDescent="0.3">
      <c r="A72" s="3">
        <v>45962</v>
      </c>
      <c r="B72" s="8">
        <f t="shared" si="9"/>
        <v>2025</v>
      </c>
      <c r="C72" s="11" t="s">
        <v>9</v>
      </c>
      <c r="D72" s="4">
        <v>90</v>
      </c>
      <c r="E72" s="4">
        <v>110</v>
      </c>
      <c r="F72" s="4">
        <f t="shared" si="13"/>
        <v>20</v>
      </c>
      <c r="G72" s="17">
        <f t="shared" si="14"/>
        <v>0.18181818181818182</v>
      </c>
      <c r="H72" s="4">
        <v>533</v>
      </c>
      <c r="I72" s="6">
        <f t="shared" si="10"/>
        <v>58630</v>
      </c>
      <c r="J72" s="6">
        <f t="shared" si="15"/>
        <v>47970</v>
      </c>
      <c r="K72" s="6">
        <f t="shared" si="12"/>
        <v>10660</v>
      </c>
    </row>
    <row r="73" spans="1:11" x14ac:dyDescent="0.3">
      <c r="A73" s="3">
        <v>45992</v>
      </c>
      <c r="B73" s="8">
        <f t="shared" si="9"/>
        <v>2025</v>
      </c>
      <c r="C73" s="11" t="s">
        <v>9</v>
      </c>
      <c r="D73" s="4">
        <v>90</v>
      </c>
      <c r="E73" s="4">
        <v>110</v>
      </c>
      <c r="F73" s="4">
        <f t="shared" si="13"/>
        <v>20</v>
      </c>
      <c r="G73" s="17">
        <f t="shared" si="14"/>
        <v>0.18181818181818182</v>
      </c>
      <c r="H73" s="4">
        <v>485</v>
      </c>
      <c r="I73" s="6">
        <f t="shared" si="10"/>
        <v>53350</v>
      </c>
      <c r="J73" s="6">
        <f t="shared" si="15"/>
        <v>43650</v>
      </c>
      <c r="K73" s="6">
        <f t="shared" si="12"/>
        <v>9700</v>
      </c>
    </row>
  </sheetData>
  <autoFilter ref="A1:K1" xr:uid="{00000000-0001-0000-0000-000000000000}">
    <sortState xmlns:xlrd2="http://schemas.microsoft.com/office/spreadsheetml/2017/richdata2" ref="A2:K73">
      <sortCondition ref="C1"/>
    </sortState>
  </autoFilter>
  <pageMargins left="0.75" right="0.75" top="1" bottom="1" header="0.5" footer="0.5"/>
  <headerFooter>
    <oddFooter>&amp;C_x000D_&amp;1#&amp;"Arial"&amp;8&amp;K000000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0B18-FC9D-446B-A7E5-1C6DFFCAD184}">
  <dimension ref="A1:F17"/>
  <sheetViews>
    <sheetView tabSelected="1" workbookViewId="0">
      <selection activeCell="F8" sqref="F8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14.109375" bestFit="1" customWidth="1"/>
    <col min="4" max="4" width="11.109375" bestFit="1" customWidth="1"/>
    <col min="5" max="5" width="12.109375" bestFit="1" customWidth="1"/>
    <col min="6" max="6" width="14.88671875" bestFit="1" customWidth="1"/>
  </cols>
  <sheetData>
    <row r="1" spans="1:6" x14ac:dyDescent="0.3">
      <c r="A1" s="12" t="s">
        <v>1</v>
      </c>
      <c r="B1" t="s">
        <v>7</v>
      </c>
    </row>
    <row r="3" spans="1:6" x14ac:dyDescent="0.3">
      <c r="A3" s="12" t="s">
        <v>12</v>
      </c>
      <c r="B3" t="s">
        <v>15</v>
      </c>
      <c r="C3" t="s">
        <v>28</v>
      </c>
      <c r="D3" t="s">
        <v>29</v>
      </c>
      <c r="E3" t="s">
        <v>30</v>
      </c>
      <c r="F3" t="s">
        <v>33</v>
      </c>
    </row>
    <row r="4" spans="1:6" x14ac:dyDescent="0.3">
      <c r="A4" s="13" t="s">
        <v>13</v>
      </c>
      <c r="B4" s="14">
        <v>4.7359477124183016</v>
      </c>
      <c r="C4" s="16">
        <v>12910</v>
      </c>
      <c r="D4" s="7">
        <v>727500</v>
      </c>
      <c r="E4" s="7">
        <v>469150</v>
      </c>
      <c r="F4" s="7">
        <v>1196650</v>
      </c>
    </row>
    <row r="5" spans="1:6" x14ac:dyDescent="0.3">
      <c r="A5" s="13" t="s">
        <v>14</v>
      </c>
      <c r="B5" s="14"/>
      <c r="C5" s="16"/>
      <c r="D5" s="7"/>
      <c r="E5" s="7"/>
      <c r="F5" s="7"/>
    </row>
    <row r="6" spans="1:6" x14ac:dyDescent="0.3">
      <c r="A6" s="15" t="s">
        <v>16</v>
      </c>
      <c r="B6" s="14">
        <v>0.3</v>
      </c>
      <c r="C6" s="16">
        <v>2000</v>
      </c>
      <c r="D6" s="7">
        <v>140000</v>
      </c>
      <c r="E6" s="7">
        <v>60000</v>
      </c>
      <c r="F6" s="7">
        <v>200000</v>
      </c>
    </row>
    <row r="7" spans="1:6" x14ac:dyDescent="0.3">
      <c r="A7" s="15" t="s">
        <v>17</v>
      </c>
      <c r="B7" s="14">
        <v>0.3</v>
      </c>
      <c r="C7" s="16">
        <v>2200</v>
      </c>
      <c r="D7" s="7">
        <v>154000</v>
      </c>
      <c r="E7" s="7">
        <v>66000</v>
      </c>
      <c r="F7" s="7">
        <v>220000</v>
      </c>
    </row>
    <row r="8" spans="1:6" x14ac:dyDescent="0.3">
      <c r="A8" s="15" t="s">
        <v>18</v>
      </c>
      <c r="B8" s="14">
        <v>0.3</v>
      </c>
      <c r="C8" s="16">
        <v>2500</v>
      </c>
      <c r="D8" s="7">
        <v>175000</v>
      </c>
      <c r="E8" s="7">
        <v>75000</v>
      </c>
      <c r="F8" s="7">
        <v>250000</v>
      </c>
    </row>
    <row r="9" spans="1:6" x14ac:dyDescent="0.3">
      <c r="A9" s="15" t="s">
        <v>19</v>
      </c>
      <c r="B9" s="14">
        <v>0.3</v>
      </c>
      <c r="C9" s="16">
        <v>2600</v>
      </c>
      <c r="D9" s="7">
        <v>182000</v>
      </c>
      <c r="E9" s="7">
        <v>78000</v>
      </c>
      <c r="F9" s="7">
        <v>260000</v>
      </c>
    </row>
    <row r="10" spans="1:6" x14ac:dyDescent="0.3">
      <c r="A10" s="15" t="s">
        <v>20</v>
      </c>
      <c r="B10" s="14">
        <v>0.31818181818181818</v>
      </c>
      <c r="C10" s="16">
        <v>2700</v>
      </c>
      <c r="D10" s="7">
        <v>202500</v>
      </c>
      <c r="E10" s="7">
        <v>94500</v>
      </c>
      <c r="F10" s="7">
        <v>297000</v>
      </c>
    </row>
    <row r="11" spans="1:6" x14ac:dyDescent="0.3">
      <c r="A11" s="15" t="s">
        <v>21</v>
      </c>
      <c r="B11" s="14">
        <v>0.31818181818181818</v>
      </c>
      <c r="C11" s="16">
        <v>2950</v>
      </c>
      <c r="D11" s="7">
        <v>221250</v>
      </c>
      <c r="E11" s="7">
        <v>103250</v>
      </c>
      <c r="F11" s="7">
        <v>324500</v>
      </c>
    </row>
    <row r="12" spans="1:6" x14ac:dyDescent="0.3">
      <c r="A12" s="15" t="s">
        <v>22</v>
      </c>
      <c r="B12" s="14">
        <v>0.31818181818181818</v>
      </c>
      <c r="C12" s="16">
        <v>3100</v>
      </c>
      <c r="D12" s="7">
        <v>232500</v>
      </c>
      <c r="E12" s="7">
        <v>108500</v>
      </c>
      <c r="F12" s="7">
        <v>341000</v>
      </c>
    </row>
    <row r="13" spans="1:6" x14ac:dyDescent="0.3">
      <c r="A13" s="15" t="s">
        <v>23</v>
      </c>
      <c r="B13" s="14">
        <v>0.31818181818181818</v>
      </c>
      <c r="C13" s="16">
        <v>3200</v>
      </c>
      <c r="D13" s="7">
        <v>240000</v>
      </c>
      <c r="E13" s="7">
        <v>112000</v>
      </c>
      <c r="F13" s="7">
        <v>352000</v>
      </c>
    </row>
    <row r="14" spans="1:6" x14ac:dyDescent="0.3">
      <c r="A14" s="15" t="s">
        <v>24</v>
      </c>
      <c r="B14" s="14">
        <v>0.25</v>
      </c>
      <c r="C14" s="16">
        <v>3300</v>
      </c>
      <c r="D14" s="7">
        <v>247500</v>
      </c>
      <c r="E14" s="7">
        <v>82500</v>
      </c>
      <c r="F14" s="7">
        <v>330000</v>
      </c>
    </row>
    <row r="15" spans="1:6" x14ac:dyDescent="0.3">
      <c r="A15" s="15" t="s">
        <v>25</v>
      </c>
      <c r="B15" s="14">
        <v>0.25</v>
      </c>
      <c r="C15" s="16">
        <v>3500</v>
      </c>
      <c r="D15" s="7">
        <v>262500</v>
      </c>
      <c r="E15" s="7">
        <v>87500</v>
      </c>
      <c r="F15" s="7">
        <v>350000</v>
      </c>
    </row>
    <row r="16" spans="1:6" x14ac:dyDescent="0.3">
      <c r="A16" s="15" t="s">
        <v>26</v>
      </c>
      <c r="B16" s="14">
        <v>0.25</v>
      </c>
      <c r="C16" s="16">
        <v>3600</v>
      </c>
      <c r="D16" s="7">
        <v>270000</v>
      </c>
      <c r="E16" s="7">
        <v>90000</v>
      </c>
      <c r="F16" s="7">
        <v>360000</v>
      </c>
    </row>
    <row r="17" spans="1:6" x14ac:dyDescent="0.3">
      <c r="A17" s="15" t="s">
        <v>27</v>
      </c>
      <c r="B17" s="14">
        <v>0.25</v>
      </c>
      <c r="C17" s="16">
        <v>3900</v>
      </c>
      <c r="D17" s="7">
        <v>292500</v>
      </c>
      <c r="E17" s="7">
        <v>97500</v>
      </c>
      <c r="F17" s="7">
        <v>390000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Basic_Data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Viola, Gyoengyi</cp:lastModifiedBy>
  <cp:revision/>
  <dcterms:created xsi:type="dcterms:W3CDTF">2026-03-03T16:38:36Z</dcterms:created>
  <dcterms:modified xsi:type="dcterms:W3CDTF">2026-03-03T22:13:14Z</dcterms:modified>
  <cp:category/>
  <cp:contentStatus/>
</cp:coreProperties>
</file>